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vsairn\Desktop\"/>
    </mc:Choice>
  </mc:AlternateContent>
  <xr:revisionPtr revIDLastSave="0" documentId="13_ncr:1_{CC701BDC-DA5B-42CE-A695-5265F43762E6}" xr6:coauthVersionLast="46" xr6:coauthVersionMax="46" xr10:uidLastSave="{00000000-0000-0000-0000-000000000000}"/>
  <bookViews>
    <workbookView xWindow="-108" yWindow="-108" windowWidth="23256" windowHeight="12576" xr2:uid="{FD7B9D1D-041C-4081-A042-F21AE55E8184}"/>
  </bookViews>
  <sheets>
    <sheet name="Main" sheetId="1" r:id="rId1"/>
    <sheet name="DB_HIRING" sheetId="19" state="veryHidden" r:id="rId2"/>
    <sheet name="SP_Access_List" sheetId="8" state="veryHidden" r:id="rId3"/>
    <sheet name="DB_One-Time_Payment" sheetId="3" state="veryHidden" r:id="rId4"/>
    <sheet name="DB_Recurring" sheetId="4" state="veryHidden" r:id="rId5"/>
    <sheet name="DB_BASE_PAY" sheetId="10" state="veryHidden" r:id="rId6"/>
    <sheet name="DB_BANK_DETAILS" sheetId="12" state="veryHidden" r:id="rId7"/>
    <sheet name="DB_PERSONAL_DETAILS" sheetId="2" state="veryHidden" r:id="rId8"/>
    <sheet name="DB_REACTIVATE" sheetId="13" state="veryHidden" r:id="rId9"/>
    <sheet name="DB_LOCATION_CHANGES" sheetId="14" state="veryHidden" r:id="rId10"/>
    <sheet name="DB_WORKING_TIME" sheetId="15" state="veryHidden" r:id="rId11"/>
    <sheet name="DB_ADDRESS" sheetId="16" state="veryHidden" r:id="rId12"/>
    <sheet name="DB_LT_ABSENCE" sheetId="17" state="veryHidden" r:id="rId13"/>
    <sheet name="DB_LEAVING" sheetId="18" state="veryHidden" r:id="rId14"/>
    <sheet name="Master_Data" sheetId="6" state="veryHidden" r:id="rId15"/>
    <sheet name="Calculation" sheetId="7" state="veryHidden" r:id="rId16"/>
  </sheets>
  <definedNames>
    <definedName name="_xlnm._FilterDatabase" localSheetId="3" hidden="1">'DB_One-Time_Payment'!#REF!</definedName>
    <definedName name="_xlnm._FilterDatabase" localSheetId="14" hidden="1">Master_Data!$A$1:$Y$255</definedName>
    <definedName name="_xlnm._FilterDatabase" localSheetId="2" hidden="1">SP_Access_List!$A$1:$F$277</definedName>
    <definedName name="INNOWIN43169_HRGO_REPORTING_Not_in_use_V_Payroll_RMEA_GEO_004" localSheetId="11" hidden="1">DB_ADDRESS!$A$1:$AY$2</definedName>
    <definedName name="INNOWIN43169_HRGO_REPORTING_Not_in_use_V_Payroll_RMEA_GEO_004" localSheetId="6" hidden="1">DB_BANK_DETAILS!$A$1:$AW$2</definedName>
    <definedName name="INNOWIN43169_HRGO_REPORTING_Not_in_use_V_Payroll_RMEA_GEO_004" localSheetId="5" hidden="1">DB_BASE_PAY!$A$1:$X$2</definedName>
    <definedName name="INNOWIN43169_HRGO_REPORTING_Not_in_use_V_Payroll_RMEA_GEO_004" localSheetId="1" hidden="1">DB_HIRING!$A$1:$BE$2</definedName>
    <definedName name="INNOWIN43169_HRGO_REPORTING_Not_in_use_V_Payroll_RMEA_GEO_004" localSheetId="13" hidden="1">DB_LEAVING!$A$1:$Q$2</definedName>
    <definedName name="INNOWIN43169_HRGO_REPORTING_Not_in_use_V_Payroll_RMEA_GEO_004" localSheetId="9" hidden="1">DB_LOCATION_CHANGES!$A$1:$P$2</definedName>
    <definedName name="INNOWIN43169_HRGO_REPORTING_Not_in_use_V_Payroll_RMEA_GEO_004" localSheetId="12" hidden="1">DB_LT_ABSENCE!$A$1:$O$2</definedName>
    <definedName name="innowin43169_HRGO_REPORTING_Not_in_use_V_Payroll_RMEA_GEO_004" localSheetId="3" hidden="1">'DB_One-Time_Payment'!$A$1:$W$2</definedName>
    <definedName name="INNOWIN43169_HRGO_REPORTING_Not_in_use_V_Payroll_RMEA_GEO_004" localSheetId="7" hidden="1">DB_PERSONAL_DETAILS!$A$1:$BG$2</definedName>
    <definedName name="INNOWIN43169_HRGO_REPORTING_Not_in_use_V_Payroll_RMEA_GEO_004" localSheetId="8" hidden="1">DB_REACTIVATE!$A$1:$P$2</definedName>
    <definedName name="INNOWIN43169_HRGO_REPORTING_Not_in_use_V_Payroll_RMEA_GEO_004" localSheetId="4" hidden="1">DB_Recurring!$A$1:$O$2</definedName>
    <definedName name="INNOWIN43169_HRGO_REPORTING_Not_in_use_V_Payroll_RMEA_GEO_004" localSheetId="10" hidden="1">DB_WORKING_TIME!$A$1:$V$2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4" i="7" l="1"/>
  <c r="C2" i="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5331A3F-227B-4B97-8BB1-8A9014D18FCB}" keepAlive="1" name="innowin43169 HRGO_REPORTING Not_in_use_V_Payroll_RMEA_GEO_004" type="5" refreshedVersion="6" deleted="1" saveData="1">
    <dbPr connection="" command=""/>
  </connection>
  <connection id="2" xr16:uid="{FE621063-8D10-4F70-8A68-891544945C1E}" keepAlive="1" name="INNOWIN43169 HRGO_REPORTING Not_in_use_V_Payroll_RMEA_GEO_0041" type="5" refreshedVersion="6" deleted="1" saveData="1">
    <dbPr connection="" command=""/>
  </connection>
  <connection id="3" xr16:uid="{C4EB2007-F576-43DF-8301-49D9A859CD2D}" keepAlive="1" name="INNOWIN43169 HRGO_REPORTING Not_in_use_V_Payroll_RMEA_GEO_00410" type="5" refreshedVersion="6" deleted="1" saveData="1">
    <dbPr connection="" command=""/>
  </connection>
  <connection id="4" xr16:uid="{105E2C08-6F71-408D-BD04-B6CFCD459E3D}" keepAlive="1" name="INNOWIN43169 HRGO_REPORTING Not_in_use_V_Payroll_RMEA_GEO_00411" type="5" refreshedVersion="6" minRefreshableVersion="3" deleted="1" saveData="1">
    <dbPr connection="" command=""/>
  </connection>
  <connection id="5" xr16:uid="{7F3B1685-1FFA-4C2C-9DC2-CB43D9ED5B1E}" keepAlive="1" name="INNOWIN43169 HRGO_REPORTING Not_in_use_V_Payroll_RMEA_GEO_0042" type="5" refreshedVersion="6" deleted="1" saveData="1">
    <dbPr connection="" command=""/>
  </connection>
  <connection id="6" xr16:uid="{79ED52FE-8B08-4205-B8B0-7F2C8E2FF7C8}" keepAlive="1" name="INNOWIN43169 HRGO_REPORTING Not_in_use_V_Payroll_RMEA_GEO_0043" type="5" refreshedVersion="6" deleted="1" saveData="1">
    <dbPr connection="" command=""/>
  </connection>
  <connection id="7" xr16:uid="{ED046FC5-1158-49B9-8C63-0CDA3B0949BE}" keepAlive="1" name="INNOWIN43169 HRGO_REPORTING Not_in_use_V_Payroll_RMEA_GEO_0044" type="5" refreshedVersion="6" deleted="1" saveData="1">
    <dbPr connection="" command=""/>
  </connection>
  <connection id="8" xr16:uid="{F81981EE-9B49-4B01-B6F3-82FCF0B563A1}" keepAlive="1" name="INNOWIN43169 HRGO_REPORTING Not_in_use_V_Payroll_RMEA_GEO_0045" type="5" refreshedVersion="6" deleted="1" saveData="1">
    <dbPr connection="" command=""/>
  </connection>
  <connection id="9" xr16:uid="{89970BA6-609F-43C5-9092-83878E66C7BC}" keepAlive="1" name="INNOWIN43169 HRGO_REPORTING Not_in_use_V_Payroll_RMEA_GEO_0046" type="5" refreshedVersion="6" deleted="1" saveData="1">
    <dbPr connection="" command=""/>
  </connection>
  <connection id="10" xr16:uid="{E86E4E4D-93E0-4165-988C-12CB72F552F0}" keepAlive="1" name="INNOWIN43169 HRGO_REPORTING Not_in_use_V_Payroll_RMEA_GEO_0047" type="5" refreshedVersion="6" deleted="1" saveData="1">
    <dbPr connection="" command=""/>
  </connection>
  <connection id="11" xr16:uid="{CC89997E-C62F-40AA-A5B8-6C5B358AA248}" keepAlive="1" name="INNOWIN43169 HRGO_REPORTING Not_in_use_V_Payroll_RMEA_GEO_0048" type="5" refreshedVersion="6" deleted="1" saveData="1">
    <dbPr connection="" command=""/>
  </connection>
  <connection id="12" xr16:uid="{1FD1A952-40B6-4BE7-8491-653D0A9DA735}" keepAlive="1" name="INNOWIN43169 HRGO_REPORTING Not_in_use_V_Payroll_RMEA_GEO_0049" type="5" refreshedVersion="6" deleted="1" saveData="1">
    <dbPr connection="" command=""/>
  </connection>
</connections>
</file>

<file path=xl/sharedStrings.xml><?xml version="1.0" encoding="utf-8"?>
<sst xmlns="http://schemas.openxmlformats.org/spreadsheetml/2006/main" count="6776" uniqueCount="871">
  <si>
    <t>Start Date</t>
  </si>
  <si>
    <t>First Name</t>
  </si>
  <si>
    <t>Last Name</t>
  </si>
  <si>
    <t>Amount</t>
  </si>
  <si>
    <t/>
  </si>
  <si>
    <t>X9</t>
  </si>
  <si>
    <t>Non-payroll-relevant</t>
  </si>
  <si>
    <t>Juan</t>
  </si>
  <si>
    <t>Wang</t>
  </si>
  <si>
    <t>Huang</t>
  </si>
  <si>
    <t>United Kingdom</t>
  </si>
  <si>
    <t>One Time Payment</t>
  </si>
  <si>
    <t>Recurring Data</t>
  </si>
  <si>
    <t>Master_Data</t>
  </si>
  <si>
    <t xml:space="preserve">Please Press "Enable Content" Option to use the tool </t>
  </si>
  <si>
    <t>Access_Check</t>
  </si>
  <si>
    <t>Country Text</t>
  </si>
  <si>
    <t>Cocd</t>
  </si>
  <si>
    <t>Company Code</t>
  </si>
  <si>
    <t>PArea</t>
  </si>
  <si>
    <t>Payroll Area</t>
  </si>
  <si>
    <t>PERSONID_EXT</t>
  </si>
  <si>
    <t>Pers No</t>
  </si>
  <si>
    <t>First name</t>
  </si>
  <si>
    <t>EEGrp</t>
  </si>
  <si>
    <t>Employee Group</t>
  </si>
  <si>
    <t>ESgrp</t>
  </si>
  <si>
    <t>Employee Subgroup</t>
  </si>
  <si>
    <t>Origin dt</t>
  </si>
  <si>
    <t>Wage type</t>
  </si>
  <si>
    <t>Wage Type1</t>
  </si>
  <si>
    <t>Curr</t>
  </si>
  <si>
    <t>Assignment number</t>
  </si>
  <si>
    <t>Changed by</t>
  </si>
  <si>
    <t>Chngd on</t>
  </si>
  <si>
    <t>Prev per no</t>
  </si>
  <si>
    <t>Germany</t>
  </si>
  <si>
    <t>1</t>
  </si>
  <si>
    <t>Active</t>
  </si>
  <si>
    <t>Reg Monthly salaried</t>
  </si>
  <si>
    <t>China</t>
  </si>
  <si>
    <t>2805</t>
  </si>
  <si>
    <t>ENC</t>
  </si>
  <si>
    <t>E6</t>
  </si>
  <si>
    <t>China - ENC</t>
  </si>
  <si>
    <t>CNY</t>
  </si>
  <si>
    <t>Zhao</t>
  </si>
  <si>
    <t>Chen</t>
  </si>
  <si>
    <t>Dong</t>
  </si>
  <si>
    <t>Wei</t>
  </si>
  <si>
    <t>Zhang</t>
  </si>
  <si>
    <t>Li</t>
  </si>
  <si>
    <t>Gao</t>
  </si>
  <si>
    <t>Wen</t>
  </si>
  <si>
    <t>Wu</t>
  </si>
  <si>
    <t>Bo</t>
  </si>
  <si>
    <t>Zhou</t>
  </si>
  <si>
    <t>Xia</t>
  </si>
  <si>
    <t>Hao</t>
  </si>
  <si>
    <t>Rui</t>
  </si>
  <si>
    <t>Yu</t>
  </si>
  <si>
    <t>Jun</t>
  </si>
  <si>
    <t>Liu</t>
  </si>
  <si>
    <t>Portugal</t>
  </si>
  <si>
    <t>Belgium</t>
  </si>
  <si>
    <t>Greece</t>
  </si>
  <si>
    <t>Fei</t>
  </si>
  <si>
    <t>Ireland</t>
  </si>
  <si>
    <t>Italy</t>
  </si>
  <si>
    <t>Bulgaria</t>
  </si>
  <si>
    <t>France</t>
  </si>
  <si>
    <t>Spain</t>
  </si>
  <si>
    <t>Israel</t>
  </si>
  <si>
    <t>Liang</t>
  </si>
  <si>
    <t>Lei</t>
  </si>
  <si>
    <t>Jian</t>
  </si>
  <si>
    <t>Guo</t>
  </si>
  <si>
    <t>Yan</t>
  </si>
  <si>
    <t>4</t>
  </si>
  <si>
    <t>Sideline</t>
  </si>
  <si>
    <t>Chao</t>
  </si>
  <si>
    <t>Song</t>
  </si>
  <si>
    <t>Ye</t>
  </si>
  <si>
    <t>Xiao</t>
  </si>
  <si>
    <t>LI</t>
  </si>
  <si>
    <t>Cao</t>
  </si>
  <si>
    <t>XU</t>
  </si>
  <si>
    <t>Xin</t>
  </si>
  <si>
    <t>EATKMEN</t>
  </si>
  <si>
    <t>Yi</t>
  </si>
  <si>
    <t>EFORCAT</t>
  </si>
  <si>
    <t>Ukraine</t>
  </si>
  <si>
    <t>CoCd</t>
  </si>
  <si>
    <t>Reason for Changing Master Dat</t>
  </si>
  <si>
    <t>UtilLvl</t>
  </si>
  <si>
    <t>Wage Type</t>
  </si>
  <si>
    <t>Number</t>
  </si>
  <si>
    <t>EPETPAM</t>
  </si>
  <si>
    <t>ENACKAR</t>
  </si>
  <si>
    <t>ENPNARA</t>
  </si>
  <si>
    <t>EEMNANT</t>
  </si>
  <si>
    <t>Hungary</t>
  </si>
  <si>
    <t>Monthly salary/wage</t>
  </si>
  <si>
    <t>ECRIFAC</t>
  </si>
  <si>
    <t>Estonia</t>
  </si>
  <si>
    <t>Kazakhstan</t>
  </si>
  <si>
    <t>South Korea</t>
  </si>
  <si>
    <t>Temp Hourly wage ear</t>
  </si>
  <si>
    <t>EJEAPAG</t>
  </si>
  <si>
    <t>EZVASMA</t>
  </si>
  <si>
    <t>Serbia</t>
  </si>
  <si>
    <t>Tang</t>
  </si>
  <si>
    <t>WANG</t>
  </si>
  <si>
    <t>Meng</t>
  </si>
  <si>
    <t>Jiao</t>
  </si>
  <si>
    <t>Hourly rate</t>
  </si>
  <si>
    <t>526446</t>
  </si>
  <si>
    <t>23752817</t>
  </si>
  <si>
    <t>FEI</t>
  </si>
  <si>
    <t>527229</t>
  </si>
  <si>
    <t>23753759</t>
  </si>
  <si>
    <t>Xianda</t>
  </si>
  <si>
    <t xml:space="preserve">Pers No </t>
  </si>
  <si>
    <t>Last name</t>
  </si>
  <si>
    <t>Libya</t>
  </si>
  <si>
    <t>Albania</t>
  </si>
  <si>
    <t>Azerbaijan</t>
  </si>
  <si>
    <t>Infotype</t>
  </si>
  <si>
    <t>Subtype</t>
  </si>
  <si>
    <t>IBAN Number</t>
  </si>
  <si>
    <t>End date</t>
  </si>
  <si>
    <t>Start date</t>
  </si>
  <si>
    <t>Reference Fields Exist Primary</t>
  </si>
  <si>
    <t>Payment Currency</t>
  </si>
  <si>
    <t>Type of Bank Details Record</t>
  </si>
  <si>
    <t>Payment Method</t>
  </si>
  <si>
    <t>Payee</t>
  </si>
  <si>
    <t>Postal code</t>
  </si>
  <si>
    <t>City</t>
  </si>
  <si>
    <t>Bank country key</t>
  </si>
  <si>
    <t>Bank key</t>
  </si>
  <si>
    <t>Bank key Text</t>
  </si>
  <si>
    <t>Bank account</t>
  </si>
  <si>
    <t>CD</t>
  </si>
  <si>
    <t>CK</t>
  </si>
  <si>
    <t>SWIFT code</t>
  </si>
  <si>
    <t>Post bank no</t>
  </si>
  <si>
    <t>PayeeKey</t>
  </si>
  <si>
    <t>Purpose</t>
  </si>
  <si>
    <t>Transfer Type</t>
  </si>
  <si>
    <t>Reference details</t>
  </si>
  <si>
    <t>House number and street</t>
  </si>
  <si>
    <t>Region State Province Count</t>
  </si>
  <si>
    <t>Bank information Bank name c</t>
  </si>
  <si>
    <t>Name of employee or applicant</t>
  </si>
  <si>
    <t>Last name First name</t>
  </si>
  <si>
    <t>RNo</t>
  </si>
  <si>
    <t>Std value</t>
  </si>
  <si>
    <t>Crcy</t>
  </si>
  <si>
    <t>Standard Pct</t>
  </si>
  <si>
    <t>Nanjing Sanshan street branch, Industrial and commercial ban</t>
  </si>
  <si>
    <t>Dalian</t>
  </si>
  <si>
    <t>Date of Birth for Achievers</t>
  </si>
  <si>
    <t>Initials</t>
  </si>
  <si>
    <t>Name at birth</t>
  </si>
  <si>
    <t>Second name</t>
  </si>
  <si>
    <t>Complete name</t>
  </si>
  <si>
    <t>Second title</t>
  </si>
  <si>
    <t>Other title</t>
  </si>
  <si>
    <t>Title</t>
  </si>
  <si>
    <t>Name prefix</t>
  </si>
  <si>
    <t>Name prefix 2</t>
  </si>
  <si>
    <t>Known as</t>
  </si>
  <si>
    <t>Middle name</t>
  </si>
  <si>
    <t>NI</t>
  </si>
  <si>
    <t>Form-of-Address Key</t>
  </si>
  <si>
    <t>Gender Key</t>
  </si>
  <si>
    <t>Birth date</t>
  </si>
  <si>
    <t>Country of Birth</t>
  </si>
  <si>
    <t>State</t>
  </si>
  <si>
    <t>Birthplace</t>
  </si>
  <si>
    <t>Nationality</t>
  </si>
  <si>
    <t>Third Nationality</t>
  </si>
  <si>
    <t>Second Nationality</t>
  </si>
  <si>
    <t>Language of communication</t>
  </si>
  <si>
    <t>Religious Denomination Key</t>
  </si>
  <si>
    <t>Marital Status Key</t>
  </si>
  <si>
    <t>MS since</t>
  </si>
  <si>
    <t>No ch</t>
  </si>
  <si>
    <t>NC</t>
  </si>
  <si>
    <t>PM</t>
  </si>
  <si>
    <t>ID number</t>
  </si>
  <si>
    <t>Birth date1</t>
  </si>
  <si>
    <t>Name of Birth (Katakana)</t>
  </si>
  <si>
    <t>Name of Birth (Romaji)</t>
  </si>
  <si>
    <t>Koseki   (Katakana)</t>
  </si>
  <si>
    <t>Koseki   (Romaji)</t>
  </si>
  <si>
    <t>Year</t>
  </si>
  <si>
    <t>Mon</t>
  </si>
  <si>
    <t>Date</t>
  </si>
  <si>
    <t>Name Affix for Name at Birth</t>
  </si>
  <si>
    <t>DoB</t>
  </si>
  <si>
    <t>Age of employee</t>
  </si>
  <si>
    <t>Age</t>
  </si>
  <si>
    <t>Male</t>
  </si>
  <si>
    <t>Marrie</t>
  </si>
  <si>
    <t>Uknown</t>
  </si>
  <si>
    <t>Female</t>
  </si>
  <si>
    <t>Single</t>
  </si>
  <si>
    <t>Poland</t>
  </si>
  <si>
    <t>Slovakia</t>
  </si>
  <si>
    <t>Austria</t>
  </si>
  <si>
    <t>Reason for Action</t>
  </si>
  <si>
    <t xml:space="preserve">Prev per no </t>
  </si>
  <si>
    <t>Personnel Subarea</t>
  </si>
  <si>
    <t>Buildings</t>
  </si>
  <si>
    <t>Pers no</t>
  </si>
  <si>
    <t>WS rule</t>
  </si>
  <si>
    <t>Work Schedule Rule</t>
  </si>
  <si>
    <t>Checkbox for Part-Time Employee</t>
  </si>
  <si>
    <t>5DAY</t>
  </si>
  <si>
    <t>5D x 8hrs</t>
  </si>
  <si>
    <t>Address Record Type</t>
  </si>
  <si>
    <t>CO name</t>
  </si>
  <si>
    <t>Supplier Address (ZD1 Care Of)</t>
  </si>
  <si>
    <t>Street and house number</t>
  </si>
  <si>
    <t>District</t>
  </si>
  <si>
    <t>Country key</t>
  </si>
  <si>
    <t>Telephone no</t>
  </si>
  <si>
    <t>Kms</t>
  </si>
  <si>
    <t>Bus</t>
  </si>
  <si>
    <t>2nd address line</t>
  </si>
  <si>
    <t>Street 2</t>
  </si>
  <si>
    <t>Street 3</t>
  </si>
  <si>
    <t>Region (State Province Count)</t>
  </si>
  <si>
    <t>House</t>
  </si>
  <si>
    <t>Aptmt</t>
  </si>
  <si>
    <t>Municipal city code</t>
  </si>
  <si>
    <t>County Code</t>
  </si>
  <si>
    <t>Indicator for relationship (sp)</t>
  </si>
  <si>
    <t>Type</t>
  </si>
  <si>
    <t>Street Abbreviation</t>
  </si>
  <si>
    <t>Floor</t>
  </si>
  <si>
    <t>CH</t>
  </si>
  <si>
    <t>City (Katakana)</t>
  </si>
  <si>
    <t>City Distr (Katakana)</t>
  </si>
  <si>
    <t>Contact person (katakana)</t>
  </si>
  <si>
    <t>Kms1</t>
  </si>
  <si>
    <t>Permanent residence</t>
  </si>
  <si>
    <t xml:space="preserve">Pers no </t>
  </si>
  <si>
    <t>Action Type</t>
  </si>
  <si>
    <t>Montenegro</t>
  </si>
  <si>
    <t>No show</t>
  </si>
  <si>
    <t>XIE</t>
  </si>
  <si>
    <t>Reporting Period</t>
  </si>
  <si>
    <t>Georgia</t>
  </si>
  <si>
    <t>Nanjing</t>
  </si>
  <si>
    <t>210000</t>
  </si>
  <si>
    <t>211106</t>
  </si>
  <si>
    <t>Jiangning</t>
  </si>
  <si>
    <t>Beijing</t>
  </si>
  <si>
    <t>100000</t>
  </si>
  <si>
    <t>Chitian road,Jiangning district</t>
  </si>
  <si>
    <t>Date Loaded</t>
  </si>
  <si>
    <t>Russia</t>
  </si>
  <si>
    <t>Macedonia</t>
  </si>
  <si>
    <t>Hiring</t>
  </si>
  <si>
    <t>Cost ctr</t>
  </si>
  <si>
    <t>Cost Center</t>
  </si>
  <si>
    <t>Work Contract</t>
  </si>
  <si>
    <t>C/O name</t>
  </si>
  <si>
    <t>Annual salary - Stored</t>
  </si>
  <si>
    <t>Curr#</t>
  </si>
  <si>
    <t>MoHrs</t>
  </si>
  <si>
    <t>DailyHrs</t>
  </si>
  <si>
    <t>WkDys</t>
  </si>
  <si>
    <t>Prev#per#no#</t>
  </si>
  <si>
    <t>Ericsson Email Address</t>
  </si>
  <si>
    <t>Organizational Unit Name</t>
  </si>
  <si>
    <t>Corporate ID</t>
  </si>
  <si>
    <t>Position</t>
  </si>
  <si>
    <t>Position1</t>
  </si>
  <si>
    <t>Manager Corporate ID (A012)</t>
  </si>
  <si>
    <t>Manager PERNR (via A012)</t>
  </si>
  <si>
    <t>Name of Manager (OM)</t>
  </si>
  <si>
    <t>Manager NAME (via A012)</t>
  </si>
  <si>
    <t>Rehire</t>
  </si>
  <si>
    <t>External to New Position</t>
  </si>
  <si>
    <t>Emergency contact</t>
  </si>
  <si>
    <t>Others</t>
  </si>
  <si>
    <t>EmplyedWrkforce to NewPosition</t>
  </si>
  <si>
    <t>2520</t>
  </si>
  <si>
    <t>CBC</t>
  </si>
  <si>
    <t>E8</t>
  </si>
  <si>
    <t>China PY Relevant</t>
  </si>
  <si>
    <t>Local</t>
  </si>
  <si>
    <t>BANK OF EAST ASIA LTD.</t>
  </si>
  <si>
    <t>SEE REF</t>
  </si>
  <si>
    <t>CBC_Beijing</t>
  </si>
  <si>
    <t>2518</t>
  </si>
  <si>
    <t>CGC</t>
  </si>
  <si>
    <t>2518004310</t>
  </si>
  <si>
    <t>PDU UDM PDG E&amp;I GS1</t>
  </si>
  <si>
    <t>Guangzhou</t>
  </si>
  <si>
    <t>20018731</t>
  </si>
  <si>
    <t>Luan Lihui Laurence</t>
  </si>
  <si>
    <t>CGC_Guangzhou</t>
  </si>
  <si>
    <t>100102</t>
  </si>
  <si>
    <t>Support Engineer</t>
  </si>
  <si>
    <t>Shanghai</t>
  </si>
  <si>
    <t>CBC_Shanghai</t>
  </si>
  <si>
    <t>188464</t>
  </si>
  <si>
    <t>23282235</t>
  </si>
  <si>
    <t>2520016227</t>
  </si>
  <si>
    <t>RA RPCN PO 1 BJ</t>
  </si>
  <si>
    <t>No.5 Lize East Street</t>
  </si>
  <si>
    <t>Chaoyang, Beijing</t>
  </si>
  <si>
    <t>jun.j.yan@ericsson.com</t>
  </si>
  <si>
    <t>31756347</t>
  </si>
  <si>
    <t>Senior Project manager</t>
  </si>
  <si>
    <t>23197748</t>
  </si>
  <si>
    <t>Li Wei Tony</t>
  </si>
  <si>
    <t>500000</t>
  </si>
  <si>
    <t>2520016441</t>
  </si>
  <si>
    <t>RA RPCN2 ProdSyHW CD</t>
  </si>
  <si>
    <t>610000</t>
  </si>
  <si>
    <t>Chengdu</t>
  </si>
  <si>
    <t>23249595</t>
  </si>
  <si>
    <t>Wan Lei Allen</t>
  </si>
  <si>
    <t>CBC_Chengdu</t>
  </si>
  <si>
    <t>Wuhan</t>
  </si>
  <si>
    <t>2895</t>
  </si>
  <si>
    <t>EGX</t>
  </si>
  <si>
    <t>F4</t>
  </si>
  <si>
    <t>China - EGX</t>
  </si>
  <si>
    <t>Integration Engineer</t>
  </si>
  <si>
    <t>299745</t>
  </si>
  <si>
    <t>23441869</t>
  </si>
  <si>
    <t>2895065149</t>
  </si>
  <si>
    <t>DS SDU PC 1 XA2</t>
  </si>
  <si>
    <t>Xi'an</t>
  </si>
  <si>
    <t>710000</t>
  </si>
  <si>
    <t>31756667</t>
  </si>
  <si>
    <t>23402830</t>
  </si>
  <si>
    <t>Zhang Chao Robbie</t>
  </si>
  <si>
    <t>EGX_XiAn</t>
  </si>
  <si>
    <t>443623</t>
  </si>
  <si>
    <t>23641131</t>
  </si>
  <si>
    <t>Xiangjun</t>
  </si>
  <si>
    <t>2520016030</t>
  </si>
  <si>
    <t>PC SH Mobility Dev 2</t>
  </si>
  <si>
    <t>401，42，Kangqiao Garden,#15,Kangshi</t>
  </si>
  <si>
    <t>Road,Pudong</t>
  </si>
  <si>
    <t>201315</t>
  </si>
  <si>
    <t>31756257</t>
  </si>
  <si>
    <t>Software Engineer</t>
  </si>
  <si>
    <t>23388338</t>
  </si>
  <si>
    <t>Zhigang Yu Allen</t>
  </si>
  <si>
    <t>Room 603, No.32, Lane 301 Jinqiao Road, Pudong District, Sh</t>
  </si>
  <si>
    <t>200000</t>
  </si>
  <si>
    <t>470329</t>
  </si>
  <si>
    <t>23672323</t>
  </si>
  <si>
    <t>2520016230</t>
  </si>
  <si>
    <t>RA RPCN HWD Int2 BJ</t>
  </si>
  <si>
    <t>Shi An Jia Yuan, Wangjing West Street,</t>
  </si>
  <si>
    <t>chen.c.ye@ericsson.com</t>
  </si>
  <si>
    <t>31756376</t>
  </si>
  <si>
    <t>Senior Developer Integration</t>
  </si>
  <si>
    <t>23288789</t>
  </si>
  <si>
    <t>Zheng Hudie Lucia</t>
  </si>
  <si>
    <t>No.1037, Luoyu Road, Hongshan District</t>
  </si>
  <si>
    <t>430074</t>
  </si>
  <si>
    <t>FS</t>
  </si>
  <si>
    <t>CN(Non-supply)</t>
  </si>
  <si>
    <t>Intern</t>
  </si>
  <si>
    <t>CBC_Nanjing</t>
  </si>
  <si>
    <t>New Assignment</t>
  </si>
  <si>
    <t>510000</t>
  </si>
  <si>
    <t>2520016156</t>
  </si>
  <si>
    <t>PC UDM IPW&amp;POL CBC1</t>
  </si>
  <si>
    <t>Senior System Engineer</t>
  </si>
  <si>
    <t>20016980</t>
  </si>
  <si>
    <t>Gao Ruqing Sophia</t>
  </si>
  <si>
    <t>White C w/o OT</t>
  </si>
  <si>
    <t>ENC_NJENC</t>
  </si>
  <si>
    <t>Solution Architect</t>
  </si>
  <si>
    <t>CBC_Guangzhou</t>
  </si>
  <si>
    <t>2520011021</t>
  </si>
  <si>
    <t>DGS TI CN South</t>
  </si>
  <si>
    <t>23129768</t>
  </si>
  <si>
    <t>Xiao Eric Eric</t>
  </si>
  <si>
    <t>2520011132</t>
  </si>
  <si>
    <t>GSO CH Sourcing APAC</t>
  </si>
  <si>
    <t>23463371</t>
  </si>
  <si>
    <t>Ding Xiaoxin Christina</t>
  </si>
  <si>
    <t>Assistant Software Engineer</t>
  </si>
  <si>
    <t>Xinyu</t>
  </si>
  <si>
    <t>Yanan</t>
  </si>
  <si>
    <t>Sourcing Manager Tail Spend Management</t>
  </si>
  <si>
    <t>2520016439</t>
  </si>
  <si>
    <t>RA RPCN2 SWD 1 CD</t>
  </si>
  <si>
    <t>Developer Software</t>
  </si>
  <si>
    <t>23171966</t>
  </si>
  <si>
    <t>Jiang Ting Ivy</t>
  </si>
  <si>
    <t>101100</t>
  </si>
  <si>
    <t>Zhiqiang</t>
  </si>
  <si>
    <t>611130</t>
  </si>
  <si>
    <t>shanghai</t>
  </si>
  <si>
    <t>Senior Software Engineer</t>
  </si>
  <si>
    <t>2520016127</t>
  </si>
  <si>
    <t>PC UDM IPW&amp;POL CBC2</t>
  </si>
  <si>
    <t>23462546</t>
  </si>
  <si>
    <t>Guo Gang Rick</t>
  </si>
  <si>
    <t>Account Manager</t>
  </si>
  <si>
    <t>2520016445</t>
  </si>
  <si>
    <t>RA RPCN2 Prod Int CD</t>
  </si>
  <si>
    <t>Developer Integration</t>
  </si>
  <si>
    <t>23642659</t>
  </si>
  <si>
    <t>Hou Ling Jerry</t>
  </si>
  <si>
    <t>2520016170</t>
  </si>
  <si>
    <t>BDGS CNVF IDS CBC2</t>
  </si>
  <si>
    <t>23256612</t>
  </si>
  <si>
    <t>Shen Su</t>
  </si>
  <si>
    <t>Technical &amp; Solution Sales Support</t>
  </si>
  <si>
    <t>2520041110</t>
  </si>
  <si>
    <t>RA RPCN2 ProdSyFu CD</t>
  </si>
  <si>
    <t>Developer System</t>
  </si>
  <si>
    <t>23224761</t>
  </si>
  <si>
    <t>Huang Rui</t>
  </si>
  <si>
    <t>GSU CN PIM Test Tec</t>
  </si>
  <si>
    <t>2805000813</t>
  </si>
  <si>
    <t>23612284</t>
  </si>
  <si>
    <t>Gu Tao</t>
  </si>
  <si>
    <t>Fu</t>
  </si>
  <si>
    <t>2520016265</t>
  </si>
  <si>
    <t>RA RPCN EP BP1 BJ</t>
  </si>
  <si>
    <t>Experienced Board Power Developer</t>
  </si>
  <si>
    <t>23331156</t>
  </si>
  <si>
    <t>Zheng Jianping</t>
  </si>
  <si>
    <t>200120</t>
  </si>
  <si>
    <t>Software Verification Engineer</t>
  </si>
  <si>
    <t>525361</t>
  </si>
  <si>
    <t>23751292</t>
  </si>
  <si>
    <t>Wenxin</t>
  </si>
  <si>
    <t>Sanxingyuan Apartment, North Zhuque Avenue</t>
  </si>
  <si>
    <t>31748517</t>
  </si>
  <si>
    <t>2520016036</t>
  </si>
  <si>
    <t>PC SH Tec&amp;Por 2</t>
  </si>
  <si>
    <t>23118711</t>
  </si>
  <si>
    <t>Ye Pingfeng</t>
  </si>
  <si>
    <t>2520016251</t>
  </si>
  <si>
    <t>RA RPCN IVC ObjL BJ</t>
  </si>
  <si>
    <t>23309432</t>
  </si>
  <si>
    <t>He Chen Channing</t>
  </si>
  <si>
    <t>525505</t>
  </si>
  <si>
    <t>23751486</t>
  </si>
  <si>
    <t>Fangyuan</t>
  </si>
  <si>
    <t>No. 168, North Xingye Road, Xipu</t>
  </si>
  <si>
    <t>610097</t>
  </si>
  <si>
    <t>31748960</t>
  </si>
  <si>
    <t>Langfang</t>
  </si>
  <si>
    <t>2520016342</t>
  </si>
  <si>
    <t>PC SH Gateway Dev 1</t>
  </si>
  <si>
    <t>23385402</t>
  </si>
  <si>
    <t>Ren Li Renly</t>
  </si>
  <si>
    <t>102206</t>
  </si>
  <si>
    <t>2520016343</t>
  </si>
  <si>
    <t>PC SH PIDS 1</t>
  </si>
  <si>
    <t>23374092</t>
  </si>
  <si>
    <t>Qu Lifan Carl</t>
  </si>
  <si>
    <t>525801</t>
  </si>
  <si>
    <t>23751897</t>
  </si>
  <si>
    <t>2520016000</t>
  </si>
  <si>
    <t>RA RST CN BJ</t>
  </si>
  <si>
    <t>31749862</t>
  </si>
  <si>
    <t>Master Developer System</t>
  </si>
  <si>
    <t>23267836</t>
  </si>
  <si>
    <t>Yuan Changqing Channing</t>
  </si>
  <si>
    <t>Senior Radio Developer</t>
  </si>
  <si>
    <t>Tong</t>
  </si>
  <si>
    <t>Harbin</t>
  </si>
  <si>
    <t>2520016216</t>
  </si>
  <si>
    <t>RA CRM DMS 9 BJ</t>
  </si>
  <si>
    <t>23397320</t>
  </si>
  <si>
    <t>Li Peng Phillip</t>
  </si>
  <si>
    <t>Jiaqi</t>
  </si>
  <si>
    <t>2520016215</t>
  </si>
  <si>
    <t>RA CRM ALG 9 BJ</t>
  </si>
  <si>
    <t>23441525</t>
  </si>
  <si>
    <t>Liu Peng</t>
  </si>
  <si>
    <t>526308</t>
  </si>
  <si>
    <t>23752600</t>
  </si>
  <si>
    <t>KaiDe Duhui Jingcai,Huaqiao,Kunshan,Jiangsu</t>
  </si>
  <si>
    <t>215320</t>
  </si>
  <si>
    <t>chloe.wu@ericsson.com</t>
  </si>
  <si>
    <t>31751597</t>
  </si>
  <si>
    <t>Experienced Developer Verification</t>
  </si>
  <si>
    <t>526368</t>
  </si>
  <si>
    <t>23752694</t>
  </si>
  <si>
    <t>Hongkuan</t>
  </si>
  <si>
    <t>2520016149</t>
  </si>
  <si>
    <t>PC UDM IPW&amp;POL GS 2</t>
  </si>
  <si>
    <t>337-1103,A3,Wuxi Changtai International Community</t>
  </si>
  <si>
    <t>Fangzhi Av</t>
  </si>
  <si>
    <t>214111</t>
  </si>
  <si>
    <t>Wuxi</t>
  </si>
  <si>
    <t>alex.tang@ericsson.com</t>
  </si>
  <si>
    <t>31751737</t>
  </si>
  <si>
    <t>23289093</t>
  </si>
  <si>
    <t>Yu Fei Jacky</t>
  </si>
  <si>
    <t>31751951</t>
  </si>
  <si>
    <t>Developer - Radio</t>
  </si>
  <si>
    <t>526585</t>
  </si>
  <si>
    <t>23752889</t>
  </si>
  <si>
    <t>Putuo District</t>
  </si>
  <si>
    <t>31752063</t>
  </si>
  <si>
    <t>Developer Algorithm</t>
  </si>
  <si>
    <t>Wenhao</t>
  </si>
  <si>
    <t>Xiong</t>
  </si>
  <si>
    <t>2805000810</t>
  </si>
  <si>
    <t>GSU CN PIM Prod Tec</t>
  </si>
  <si>
    <t>23300419</t>
  </si>
  <si>
    <t>Zhan Linxiang</t>
  </si>
  <si>
    <t>527106</t>
  </si>
  <si>
    <t>23753655</t>
  </si>
  <si>
    <t>DI</t>
  </si>
  <si>
    <t>Haoyue</t>
  </si>
  <si>
    <t>2520016231</t>
  </si>
  <si>
    <t>RA RPCN HWD 7 BJ</t>
  </si>
  <si>
    <t>Huaibei NO.380,Huairou district</t>
  </si>
  <si>
    <t>101407</t>
  </si>
  <si>
    <t>haoyue.di@ericsson.com</t>
  </si>
  <si>
    <t>31753425</t>
  </si>
  <si>
    <t>20090249</t>
  </si>
  <si>
    <t>Fu Peng</t>
  </si>
  <si>
    <t>xianda.xu@ericsson.com</t>
  </si>
  <si>
    <t>31754558</t>
  </si>
  <si>
    <t>527264</t>
  </si>
  <si>
    <t>23755126</t>
  </si>
  <si>
    <t>Guopeng</t>
  </si>
  <si>
    <t>Mingshi Garden,East Xinhua Street,</t>
  </si>
  <si>
    <t>Saihan, Huhhot</t>
  </si>
  <si>
    <t>31754710</t>
  </si>
  <si>
    <t>527265</t>
  </si>
  <si>
    <t>23755140</t>
  </si>
  <si>
    <t>Huo</t>
  </si>
  <si>
    <t>5 Lize East Street, Chaoyang District, Beijing</t>
  </si>
  <si>
    <t>31754715</t>
  </si>
  <si>
    <t>IVC Object Leader</t>
  </si>
  <si>
    <t>257038</t>
  </si>
  <si>
    <t>23755142</t>
  </si>
  <si>
    <t>2520031007</t>
  </si>
  <si>
    <t>CUCM Network Sales</t>
  </si>
  <si>
    <t>Xinhe Residence 2#301 Jinzhou</t>
  </si>
  <si>
    <t>116105</t>
  </si>
  <si>
    <t>goston.gao@ericsson.com</t>
  </si>
  <si>
    <t>31754876</t>
  </si>
  <si>
    <t>23638752</t>
  </si>
  <si>
    <t>Zhang Botao Tony</t>
  </si>
  <si>
    <t>527219</t>
  </si>
  <si>
    <t>23755145</t>
  </si>
  <si>
    <t>Henan</t>
  </si>
  <si>
    <t>321 Fuhe street, Yongshun Town</t>
  </si>
  <si>
    <t>henan.wu@ericsson.com</t>
  </si>
  <si>
    <t>31754953</t>
  </si>
  <si>
    <t>527952</t>
  </si>
  <si>
    <t>23755166</t>
  </si>
  <si>
    <t>Room 502, No.14 Guohe Sancun</t>
  </si>
  <si>
    <t>200438</t>
  </si>
  <si>
    <t>31755004</t>
  </si>
  <si>
    <t>527953</t>
  </si>
  <si>
    <t>23755169</t>
  </si>
  <si>
    <t>Renqian</t>
  </si>
  <si>
    <t>2520016246</t>
  </si>
  <si>
    <t>RA RPCN SWD BJ</t>
  </si>
  <si>
    <t>No.3, Zhuyu Guoji,Shouti South Road No. 9</t>
  </si>
  <si>
    <t>100048</t>
  </si>
  <si>
    <t>31754967</t>
  </si>
  <si>
    <t>Big Data Analyst Expert</t>
  </si>
  <si>
    <t>23147014</t>
  </si>
  <si>
    <t>Na Yichao</t>
  </si>
  <si>
    <t>527940</t>
  </si>
  <si>
    <t>23755210</t>
  </si>
  <si>
    <t>Yunan</t>
  </si>
  <si>
    <t>Haidian District Beijing</t>
  </si>
  <si>
    <t>charlie.liang@ericsson.com</t>
  </si>
  <si>
    <t>31755010</t>
  </si>
  <si>
    <t>479361</t>
  </si>
  <si>
    <t>23755240</t>
  </si>
  <si>
    <t>2520016242</t>
  </si>
  <si>
    <t>RA RPCN IVC RPV1 BJ</t>
  </si>
  <si>
    <t>JiLin Province ChangChun</t>
  </si>
  <si>
    <t>Baoshou town</t>
  </si>
  <si>
    <t>130432</t>
  </si>
  <si>
    <t>Yushu</t>
  </si>
  <si>
    <t>wenhao.li@ericsson.com</t>
  </si>
  <si>
    <t>31755107</t>
  </si>
  <si>
    <t>23107915</t>
  </si>
  <si>
    <t>Han Huaying</t>
  </si>
  <si>
    <t>527947</t>
  </si>
  <si>
    <t>23755248</t>
  </si>
  <si>
    <t>Yanbin</t>
  </si>
  <si>
    <t>2520016524</t>
  </si>
  <si>
    <t>PC UDM E&amp;A Dev 2</t>
  </si>
  <si>
    <t>yanbin.li@ericsson.com</t>
  </si>
  <si>
    <t>31755022</t>
  </si>
  <si>
    <t>23297427</t>
  </si>
  <si>
    <t>Cao Zhijun Justin</t>
  </si>
  <si>
    <t>528026</t>
  </si>
  <si>
    <t>23755255</t>
  </si>
  <si>
    <t>Haipeng</t>
  </si>
  <si>
    <t>haipeng.wang@ericsson.com</t>
  </si>
  <si>
    <t>31755151</t>
  </si>
  <si>
    <t>Senior Developer Board Power Design</t>
  </si>
  <si>
    <t>256103</t>
  </si>
  <si>
    <t>23755340</t>
  </si>
  <si>
    <t>ShanshuiWan Garden, 3rd,</t>
  </si>
  <si>
    <t>31755170</t>
  </si>
  <si>
    <t>528159</t>
  </si>
  <si>
    <t>23755493</t>
  </si>
  <si>
    <t>jian.f.liu@ericsson.com</t>
  </si>
  <si>
    <t>31755290</t>
  </si>
  <si>
    <t>JAVA Developer</t>
  </si>
  <si>
    <t>刘建</t>
  </si>
  <si>
    <t>增城区新塘镇陈家林峰景路37号峰荟18栋1203室</t>
  </si>
  <si>
    <t>刘爱梅</t>
  </si>
  <si>
    <t>511300</t>
  </si>
  <si>
    <t>guangzhou广州</t>
  </si>
  <si>
    <t>476396</t>
  </si>
  <si>
    <t>23755556</t>
  </si>
  <si>
    <t>2518004313</t>
  </si>
  <si>
    <t>No.47, Dongguan Zhuang South Street,</t>
  </si>
  <si>
    <t>Wushan Street, Tianhe</t>
  </si>
  <si>
    <t>xin.c.huang@ericsson.com</t>
  </si>
  <si>
    <t>31755393</t>
  </si>
  <si>
    <t>23297791</t>
  </si>
  <si>
    <t>Huang Shan Wilson</t>
  </si>
  <si>
    <t>528373</t>
  </si>
  <si>
    <t>23755776</t>
  </si>
  <si>
    <t>Tianshou</t>
  </si>
  <si>
    <t>2520051027</t>
  </si>
  <si>
    <t>CUCT HuB SH GX AG</t>
  </si>
  <si>
    <t>Dongjig Garden, No.9 Yunjing Road, Nanning</t>
  </si>
  <si>
    <t>530025</t>
  </si>
  <si>
    <t>Nanning</t>
  </si>
  <si>
    <t>tom.a.tang@ericsson.com</t>
  </si>
  <si>
    <t>31755785</t>
  </si>
  <si>
    <t>20023686</t>
  </si>
  <si>
    <t>Deng Jianping Jasper</t>
  </si>
  <si>
    <t>CBC_Nanning</t>
  </si>
  <si>
    <t>528375</t>
  </si>
  <si>
    <t>23755778</t>
  </si>
  <si>
    <t>Liangliang</t>
  </si>
  <si>
    <t>Changping distric Beijing</t>
  </si>
  <si>
    <t>31755788</t>
  </si>
  <si>
    <t>528376</t>
  </si>
  <si>
    <t>23755780</t>
  </si>
  <si>
    <t>Longshuai</t>
  </si>
  <si>
    <t>2520016232</t>
  </si>
  <si>
    <t>RA RPCN PS PrSy1 BJ</t>
  </si>
  <si>
    <t>Beijing China</t>
  </si>
  <si>
    <t>31755790</t>
  </si>
  <si>
    <t>Senior  System Developer</t>
  </si>
  <si>
    <t>23151877</t>
  </si>
  <si>
    <t>Zhong Xiansong Kevin</t>
  </si>
  <si>
    <t>528378</t>
  </si>
  <si>
    <t>23755782</t>
  </si>
  <si>
    <t>Room 502, Unit 3, Building 109, Huajiadi Xili</t>
  </si>
  <si>
    <t>31755795</t>
  </si>
  <si>
    <t>Experienced Developer System</t>
  </si>
  <si>
    <t>528379</t>
  </si>
  <si>
    <t>23755783</t>
  </si>
  <si>
    <t>Sixiang</t>
  </si>
  <si>
    <t>2520016339</t>
  </si>
  <si>
    <t>PC SH Gateway Dev 2</t>
  </si>
  <si>
    <t>Lan Ting 12-2502, No. 100, Yinghua Road</t>
  </si>
  <si>
    <t>sean.zhou@ericsson.com</t>
  </si>
  <si>
    <t>31755805</t>
  </si>
  <si>
    <t>23309084</t>
  </si>
  <si>
    <t>Zhang Kai Simon</t>
  </si>
  <si>
    <t>528479</t>
  </si>
  <si>
    <t>23755914</t>
  </si>
  <si>
    <t>Dandan</t>
  </si>
  <si>
    <t>Huilongguan, Changping District, Beijing</t>
  </si>
  <si>
    <t>102208</t>
  </si>
  <si>
    <t>crystal.a.li@ericsson.com</t>
  </si>
  <si>
    <t>31756030</t>
  </si>
  <si>
    <t>267056</t>
  </si>
  <si>
    <t>23755923</t>
  </si>
  <si>
    <t>2520074004</t>
  </si>
  <si>
    <t>NEW MLC TSS T1 TBO</t>
  </si>
  <si>
    <t>No.18 LiaoYang Street, Harbin, HeiLongJiang Province,China.</t>
  </si>
  <si>
    <t>150001</t>
  </si>
  <si>
    <t>31756031</t>
  </si>
  <si>
    <t>23082798</t>
  </si>
  <si>
    <t>Gu Yang</t>
  </si>
  <si>
    <t>CBC_Harbin</t>
  </si>
  <si>
    <t>142445</t>
  </si>
  <si>
    <t>23756039</t>
  </si>
  <si>
    <t>Daiqi</t>
  </si>
  <si>
    <t>Building E, No.1068 Tianshan Road</t>
  </si>
  <si>
    <t>daiqi.wu@ericsson.com</t>
  </si>
  <si>
    <t>31756254</t>
  </si>
  <si>
    <t>475605</t>
  </si>
  <si>
    <t>23756051</t>
  </si>
  <si>
    <t>2520016233</t>
  </si>
  <si>
    <t>RA RPCN EP Prod BJ</t>
  </si>
  <si>
    <t>Xingwang Court 1-2-401, Xianghe County</t>
  </si>
  <si>
    <t>Langfang City</t>
  </si>
  <si>
    <t>065500</t>
  </si>
  <si>
    <t>john.zhang@ericsson.com</t>
  </si>
  <si>
    <t>31756259</t>
  </si>
  <si>
    <t>Developer Enclosure and Power</t>
  </si>
  <si>
    <t>23645232</t>
  </si>
  <si>
    <t>Chen Jx</t>
  </si>
  <si>
    <t>528541</t>
  </si>
  <si>
    <t>23756063</t>
  </si>
  <si>
    <t>Jiaming</t>
  </si>
  <si>
    <t>2520016182</t>
  </si>
  <si>
    <t>NSV PAC Test 5 BJ</t>
  </si>
  <si>
    <t>ROOM 201, NO.33, LANE 6988, HUMIN ROAD</t>
  </si>
  <si>
    <t>SHANGHAI</t>
  </si>
  <si>
    <t>201100</t>
  </si>
  <si>
    <t>lilian.wang@ericsson.com</t>
  </si>
  <si>
    <t>31756174</t>
  </si>
  <si>
    <t>20098037</t>
  </si>
  <si>
    <t>Gao Shan Grace</t>
  </si>
  <si>
    <t>528560</t>
  </si>
  <si>
    <t>23756085</t>
  </si>
  <si>
    <t>2520014026</t>
  </si>
  <si>
    <t>CC Hub EAO Indirect</t>
  </si>
  <si>
    <t>No.2, Beinong Road, zhuxinzhuang,</t>
  </si>
  <si>
    <t>yanan.a.xie@ericsson.com</t>
  </si>
  <si>
    <t>31756273</t>
  </si>
  <si>
    <t>23169892</t>
  </si>
  <si>
    <t>Li Yingying</t>
  </si>
  <si>
    <t>474033</t>
  </si>
  <si>
    <t>23756092</t>
  </si>
  <si>
    <t>Nanyi village of Gonghua homeland in  Beijing Chang ping dis</t>
  </si>
  <si>
    <t>102200</t>
  </si>
  <si>
    <t>changping</t>
  </si>
  <si>
    <t>31756349</t>
  </si>
  <si>
    <t>528644</t>
  </si>
  <si>
    <t>23756227</t>
  </si>
  <si>
    <t>201 Hesha Road, Pudong New Area, Shanghai</t>
  </si>
  <si>
    <t>200231</t>
  </si>
  <si>
    <t>31756618</t>
  </si>
  <si>
    <t>424459</t>
  </si>
  <si>
    <t>23756232</t>
  </si>
  <si>
    <t>2520016240</t>
  </si>
  <si>
    <t>RA RPCN HWD 6 BJ</t>
  </si>
  <si>
    <t>404, Unit 1, Building 1, Yard 46, Fuxing Road, Haidian</t>
  </si>
  <si>
    <t>31756624</t>
  </si>
  <si>
    <t>23082250</t>
  </si>
  <si>
    <t>He Yalan Anne</t>
  </si>
  <si>
    <t>528754</t>
  </si>
  <si>
    <t>23756244</t>
  </si>
  <si>
    <t>Building 2, Meijili Dingtong Building, Jinfeng Middle Road</t>
  </si>
  <si>
    <t>519000</t>
  </si>
  <si>
    <t>Zhuhai</t>
  </si>
  <si>
    <t>31756660</t>
  </si>
  <si>
    <t>528795</t>
  </si>
  <si>
    <t>23756315</t>
  </si>
  <si>
    <t>Building A No.1068 Tianshan Rd West</t>
  </si>
  <si>
    <t>31756807</t>
  </si>
  <si>
    <t>528797</t>
  </si>
  <si>
    <t>23756318</t>
  </si>
  <si>
    <t>Haoxin</t>
  </si>
  <si>
    <t>Building 2, Nansha Community,</t>
  </si>
  <si>
    <t>Xuefu First Building</t>
  </si>
  <si>
    <t>31756809</t>
  </si>
  <si>
    <t>528798</t>
  </si>
  <si>
    <t>23756319</t>
  </si>
  <si>
    <t>Room 1209, Building 8, Wanda West</t>
  </si>
  <si>
    <t>2nd Block, no.218</t>
  </si>
  <si>
    <t>31756810</t>
  </si>
  <si>
    <t>Senior Radio SoC System Designer</t>
  </si>
  <si>
    <t>528802</t>
  </si>
  <si>
    <t>23756328</t>
  </si>
  <si>
    <t>Taoting</t>
  </si>
  <si>
    <t>31756828</t>
  </si>
  <si>
    <t>465669</t>
  </si>
  <si>
    <t>23756355</t>
  </si>
  <si>
    <t>Tinglu</t>
  </si>
  <si>
    <t>Wenjiang District</t>
  </si>
  <si>
    <t>tinglu.wang@ericsson.com</t>
  </si>
  <si>
    <t>31756790</t>
  </si>
  <si>
    <t>528707</t>
  </si>
  <si>
    <t>23756356</t>
  </si>
  <si>
    <t>Chunxu</t>
  </si>
  <si>
    <t>81-403 Biguiyuan Yayuan,Luopu Street, Fanyu District</t>
  </si>
  <si>
    <t>511431</t>
  </si>
  <si>
    <t>31756791</t>
  </si>
  <si>
    <t>225593</t>
  </si>
  <si>
    <t>23756378</t>
  </si>
  <si>
    <t>2520068513</t>
  </si>
  <si>
    <t>CS MLC CNS GZ CoreJR</t>
  </si>
  <si>
    <t>T1-1602 16F 289No. Xinjiangnan West Xinjiao Road Haizhu Dist</t>
  </si>
  <si>
    <t>510260</t>
  </si>
  <si>
    <t>yi.a.liu@ericsson.com</t>
  </si>
  <si>
    <t>31756768</t>
  </si>
  <si>
    <t>23075232</t>
  </si>
  <si>
    <t>Kuang Xiliang Samuel</t>
  </si>
  <si>
    <t>528696</t>
  </si>
  <si>
    <t>23756444</t>
  </si>
  <si>
    <t>Jiangling</t>
  </si>
  <si>
    <t>2805000814</t>
  </si>
  <si>
    <t>No.18 Xingyuan Road</t>
  </si>
  <si>
    <t>31756972</t>
  </si>
  <si>
    <t>Developer SW</t>
  </si>
  <si>
    <t>23193622</t>
  </si>
  <si>
    <t>Wang Chunxiao Windy</t>
  </si>
  <si>
    <t>From 15/10/2020 to 14/11/2020</t>
  </si>
  <si>
    <t>ECNACOU; ERAJSLA; TEINICE; EVSAIRN; EMKUAAA; EZVIKKU; EKHVAIB; EADARAR; EGOEAKA; EXXHAAS; EKOHKAR</t>
  </si>
  <si>
    <t>Leaving</t>
  </si>
  <si>
    <t>Working_Time</t>
  </si>
  <si>
    <t>Basic_Pay</t>
  </si>
  <si>
    <t>Recurring</t>
  </si>
  <si>
    <t>One_Time_Payment</t>
  </si>
  <si>
    <t>Start_LT_Absence</t>
  </si>
  <si>
    <t>Reactivate</t>
  </si>
  <si>
    <t>Address</t>
  </si>
  <si>
    <t>Bank_Details</t>
  </si>
  <si>
    <t>Personal_Details</t>
  </si>
  <si>
    <t>ENAMAKS; EVSAIRN; EMKUAAA; EZVIKKU; EKHVAIB; EADARAR; EGOEAKA; EXXHAAS; EKOHKAR</t>
  </si>
  <si>
    <t>Armenia</t>
  </si>
  <si>
    <t>EERIMUE; EVSAIRN; EMKUAAA; EZVIKKU; EKHVAIB; EADARAR; EGOEAKA; EXXHAAS; EKOHKAR</t>
  </si>
  <si>
    <t>Work_Location</t>
  </si>
  <si>
    <t>EVANGCH; EVSAIRN; EMKUAAA; EZVIKKU; EKHVAIB; EADARAR; EGOEAKA; EXXHAAS; EKOHKAR</t>
  </si>
  <si>
    <t>EVSLFNV; ERAJSLA; ECNACOU; TEINICE; EVSAIRN; EMKUAAA; EZVIKKU; EKHVAIB; EADARAR; EGOEAKA; EXXHAAS; EKOHKAR</t>
  </si>
  <si>
    <t>ENCMIAO; QXUMCHE; EYYNXXN; eadeegc; EZQIAMI; ewagxie; ELONLON; EVSAIRN; EMKUAAA; EZVIKKU; EKHVAIB; EADARAR; EGOEAKA; EXXHAAS; EKOHKAR</t>
  </si>
  <si>
    <t>ECZKOJI; EALIVOJ; EVSAIRN; EMKUAAA; EZVIKKU; EKHVAIB; EADARAR; EGOEAKA; EXXHAAS; EKOHKAR</t>
  </si>
  <si>
    <t>Czech republic</t>
  </si>
  <si>
    <t>EAG_Germany</t>
  </si>
  <si>
    <t>EAG_Germany - First Cutoff</t>
  </si>
  <si>
    <t>EAG_Germany - Second Cutoff</t>
  </si>
  <si>
    <t>ERKSAIL; EKRLEAH; ETERSIR; EVSAIRN; EMKUAAA; EZVIKKU; EKHVAIB; EADARAR; EGOEAKA; EXXHAAS; EKOHKAR</t>
  </si>
  <si>
    <t>Estonia - First Cutoff</t>
  </si>
  <si>
    <t>Estonia - Second Cutoff</t>
  </si>
  <si>
    <t>EABIELM; EPHIBEI; ESFAKGS; EHELLOI; EFATTER; EVSAIRN; EMKUAAA; EZVIKKU; EKHVAIB; EADARAR; EGOEAKA; EXXHAAS; EKOHKAR</t>
  </si>
  <si>
    <t>EILLSEL; EMIKMEY; EMDNMLN; EJASMAT; EARUNMK; ENASTAU; EVSAIRN; EMKUAAA; EZVIKKU; EKHVAIB; EADARAR; EGOEAKA; EXXHAAS; EKOHKAR</t>
  </si>
  <si>
    <t>Germany - First Cutoff</t>
  </si>
  <si>
    <t>Germany - Second Cutoff</t>
  </si>
  <si>
    <t>EVASSPA; ECNACOU; EVSAIRN; EMKUAAA; EZVIKKU; EKHVAIB; EADARAR; EGOEAKA; EXXHAAS; EKOHKAR</t>
  </si>
  <si>
    <t>EVASSPA; ECNACOU;EZSIOIO; TEINICE; EVSAIRN; EMKUAAA; EZVIKKU; EKHVAIB; EADARAR; EGOEAKA; EXXHAAS; EKOHKAR</t>
  </si>
  <si>
    <t>ERDRRTX; ETHPIM; EVSAIRN; EMKUAAA; EZVIKKU; EKHVAIB; EADARAR; EGOEAKA; EXXHAAS; EKOHKAR</t>
  </si>
  <si>
    <t>EYAEBAR; TEINICE; EVSAIRN; EMKUAAA; EZVIKKU; EKHVAIB; EADARAR; EGOEAKA; EXXHAAS; EKOHKAR</t>
  </si>
  <si>
    <t>TEINICE; TEIPATA; TEIOLBR; TEIPAG; ESTEMARR; EVSAIRN; EMKUAAA; EZVIKKU; EKHVAIB; EADARAR; EGOEAKA; EXXHAAS; EKOHKAR</t>
  </si>
  <si>
    <t xml:space="preserve">Kazakhstan </t>
  </si>
  <si>
    <t>TEINICE; EANGLUV; ERASINP; EVSAIRN; EMKUAAA; EZVIKKU; EKHVAIB; EADARAR; EGOEAKA; EXXHAAS; EKOHKAR</t>
  </si>
  <si>
    <t>ERADRAF; ERAJSLA; ECNACOU; TEINICE; EVSAIRN; EMKUAAA; EZVIKKU; EKHVAIB; EADARAR; EGOEAKA; EXXHAAS; EKOHKAR</t>
  </si>
  <si>
    <t>EZSIOIO; ERAJSLA; ECNACOU; TEINICE; EVSAIRN; EMKUAAA; EZVIKKU; EKHVAIB; EADARAR; EGOEAKA; EXXHAAS; EKOHKAR</t>
  </si>
  <si>
    <t>EMONKAZ; EANAGRK; EVSAIRN; EMKUAAA; EZVIKKU; EKHVAIB; EADARAR; EGOEAKA; EXXHAAS; EKOHKAR</t>
  </si>
  <si>
    <t>EDCRAEM; EVSAIRN; EMKUAAA; EZVIKKU; EKHVAIB; EADARAR; EGOEAKA; EXXHAAS; EKOHKAR</t>
  </si>
  <si>
    <t>ENSVVCT; EVSAIRN; EMKUAAA; EZVIKKU; EKHVAIB; EADARAR; EGOEAKA; EXXHAAS; EKOHKAR</t>
  </si>
  <si>
    <t>Russia - First Cutoff</t>
  </si>
  <si>
    <t>Russia - Fourth Cutoff</t>
  </si>
  <si>
    <t>Russia - Second Cutoff</t>
  </si>
  <si>
    <t>Russia - Third Cutoff</t>
  </si>
  <si>
    <t>RYUBIAN; ERAJSLA; TEINICE; ECNACOU; EVSAIRN; EMKUAAA; EZVIKKU; EKHVAIB; EADARAR; EGOEAKA; EXXHAAS; EKOHKAR</t>
  </si>
  <si>
    <t>EMICKIC; EVSAIRN; EMKUAAA; EZVIKKU; EKHVAIB; EADARAR; EGOEAKA; EXXHAAS; EKOHKAR</t>
  </si>
  <si>
    <t>EZOLKEL; EVSAIRN; EMKUAAA; EZVIKKU; EKHVAIB; EADARAR; EGOEAKA; EXXHAAS; EKOHKAR</t>
  </si>
  <si>
    <t>Slovenia</t>
  </si>
  <si>
    <t>ELONLON; EHOKJEO; EVSAIRN; EMKUAAA; EZVIKKU; EKHVAIB; EADARAR; EGOEAKA; EXXHAAS; EKOHKAR</t>
  </si>
  <si>
    <t>South</t>
  </si>
  <si>
    <t>EANAREC; ECEJCGP; ENICFLO; QCRICOV; EVSAIRN; EMKUAAA; EZVIKKU; EKHVAIB; EADARAR; EGOEAKA; EXXHAAS; EKOHKAR</t>
  </si>
  <si>
    <t>EANAREC; EVSAIRN; EMKUAAA; EZVIKKU; EKHVAIB; EADARAR; EGOEAKA; EXXHAAS; EKOHKAR</t>
  </si>
  <si>
    <t>ERHNICE; EAFERFR; EFAUFRA; EKRAHUB; EPRIANI; EMELREI; EVSAIRN; EMKUAAA; EZVIKKU; EKHVAIB; EADARAR; EGOEAKA; EXXHAAS; EKOHKAR</t>
  </si>
  <si>
    <t>ETLHALH; EZMOOJE; EITNKAH; EVSAIRN; EMKUAAA; EZVIKKU; EKHVAIB; EADARAR; EGOEAKA; EXXHAAS; EKOHKAR</t>
  </si>
  <si>
    <t>ETLHALH; EBAIHEL; EGEODER; EVSAIRN; EMKUAAA; EZVIKKU; EKHVAIB; EADARAR; EGOEAKA; EXXHAAS; EKOHKAR</t>
  </si>
  <si>
    <t>Welcome to Self Service App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</si>
</sst>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4"/>
      <color theme="0"/>
      <name val="Ericsson Hilda"/>
    </font>
    <font>
      <b/>
      <sz val="11"/>
      <color theme="1"/>
      <name val="Calibri"/>
      <family val="2"/>
      <scheme val="minor"/>
    </font>
    <font>
      <b/>
      <sz val="9"/>
      <color theme="1"/>
      <name val="Ericsson Hilda Medium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E0E0E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0" fontId="3" fillId="4" borderId="0" xfId="0" applyFont="1" applyFill="1" applyAlignment="1"/>
    <xf numFmtId="14" fontId="0" fillId="3" borderId="0" xfId="0" applyNumberFormat="1" applyFill="1"/>
    <xf numFmtId="14" fontId="0" fillId="2" borderId="0" xfId="0" applyNumberFormat="1" applyFill="1"/>
    <xf numFmtId="0" fontId="4" fillId="5" borderId="1" xfId="0" applyFont="1" applyFill="1" applyBorder="1"/>
    <xf numFmtId="0" fontId="4" fillId="5" borderId="2" xfId="0" applyFont="1" applyFill="1" applyBorder="1"/>
    <xf numFmtId="0" fontId="4" fillId="5" borderId="3" xfId="0" applyFont="1" applyFill="1" applyBorder="1"/>
    <xf numFmtId="15" fontId="0" fillId="0" borderId="0" xfId="0" applyNumberFormat="1"/>
    <xf numFmtId="15" fontId="4" fillId="5" borderId="2" xfId="0" applyNumberFormat="1" applyFont="1" applyFill="1" applyBorder="1"/>
    <xf numFmtId="14" fontId="0" fillId="0" borderId="0" xfId="0" applyNumberFormat="1"/>
    <xf numFmtId="0" fontId="0" fillId="6" borderId="1" xfId="0" applyFont="1" applyFill="1" applyBorder="1"/>
    <xf numFmtId="0" fontId="0" fillId="6" borderId="2" xfId="0" applyFont="1" applyFill="1" applyBorder="1"/>
    <xf numFmtId="15" fontId="0" fillId="6" borderId="2" xfId="0" applyNumberFormat="1" applyFont="1" applyFill="1" applyBorder="1"/>
    <xf numFmtId="0" fontId="0" fillId="6" borderId="3" xfId="0" applyFont="1" applyFill="1" applyBorder="1"/>
    <xf numFmtId="22" fontId="0" fillId="0" borderId="0" xfId="0" applyNumberFormat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22" fontId="0" fillId="6" borderId="2" xfId="0" applyNumberFormat="1" applyFont="1" applyFill="1" applyBorder="1"/>
    <xf numFmtId="22" fontId="0" fillId="0" borderId="2" xfId="0" applyNumberFormat="1" applyFont="1" applyBorder="1"/>
    <xf numFmtId="15" fontId="0" fillId="0" borderId="2" xfId="0" applyNumberFormat="1" applyFont="1" applyBorder="1"/>
    <xf numFmtId="0" fontId="1" fillId="3" borderId="0" xfId="0" applyFont="1" applyFill="1" applyAlignment="1">
      <alignment horizontal="center" vertical="center"/>
    </xf>
  </cellXfs>
  <cellStyles count="1">
    <cellStyle name="Normal" xfId="0" builtinId="0"/>
  </cellStyles>
  <dxfs count="16">
    <dxf>
      <numFmt numFmtId="20" formatCode="dd\-mmm\-yy"/>
    </dxf>
    <dxf>
      <numFmt numFmtId="20" formatCode="dd\-mmm\-yy"/>
    </dxf>
    <dxf>
      <numFmt numFmtId="20" formatCode="dd\-mmm\-yy"/>
    </dxf>
    <dxf>
      <numFmt numFmtId="20" formatCode="dd\-mmm\-yy"/>
    </dxf>
    <dxf>
      <numFmt numFmtId="20" formatCode="dd\-mmm\-yy"/>
    </dxf>
    <dxf>
      <numFmt numFmtId="20" formatCode="dd\-mmm\-yy"/>
    </dxf>
    <dxf>
      <numFmt numFmtId="20" formatCode="dd\-mmm\-yy"/>
    </dxf>
    <dxf>
      <numFmt numFmtId="20" formatCode="dd\-mmm\-yy"/>
    </dxf>
    <dxf>
      <numFmt numFmtId="20" formatCode="dd\-mmm\-yy"/>
    </dxf>
    <dxf>
      <numFmt numFmtId="20" formatCode="dd\-mmm\-yy"/>
    </dxf>
    <dxf>
      <numFmt numFmtId="20" formatCode="dd\-mmm\-yy"/>
    </dxf>
    <dxf>
      <numFmt numFmtId="20" formatCode="dd\-mmm\-yy"/>
    </dxf>
    <dxf>
      <numFmt numFmtId="20" formatCode="dd\-mmm\-yy"/>
    </dxf>
    <dxf>
      <numFmt numFmtId="20" formatCode="dd\-mmm\-yy"/>
    </dxf>
    <dxf>
      <numFmt numFmtId="27" formatCode="dd/mm/yyyy\ hh:mm"/>
    </dxf>
    <dxf>
      <numFmt numFmtId="27" formatCode="dd/mm/yyyy\ hh:mm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106680</xdr:colOff>
      <xdr:row>8</xdr:row>
      <xdr:rowOff>121920</xdr:rowOff>
    </xdr:from>
    <xdr:to>
      <xdr:col>14</xdr:col>
      <xdr:colOff>281940</xdr:colOff>
      <xdr:row>16</xdr:row>
      <xdr:rowOff>22860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0DC74D5-1EAE-41DA-906B-BA3403616B99}"/>
            </a:ext>
          </a:extLst>
        </xdr:cNvPr>
        <xdr:cNvSpPr/>
      </xdr:nvSpPr>
      <xdr:spPr>
        <a:xfrm>
          <a:off x="4983480" y="1722120"/>
          <a:ext cx="3832860" cy="1363980"/>
        </a:xfrm>
        <a:prstGeom prst="round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464820</xdr:colOff>
      <xdr:row>7</xdr:row>
      <xdr:rowOff>167640</xdr:rowOff>
    </xdr:from>
    <xdr:to>
      <xdr:col>11</xdr:col>
      <xdr:colOff>54479</xdr:colOff>
      <xdr:row>9</xdr:row>
      <xdr:rowOff>29166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FF03BC8A-27D6-493C-96A9-9AD1F51C739E}"/>
            </a:ext>
          </a:extLst>
        </xdr:cNvPr>
        <xdr:cNvSpPr txBox="1"/>
      </xdr:nvSpPr>
      <xdr:spPr>
        <a:xfrm>
          <a:off x="5341620" y="1584960"/>
          <a:ext cx="1418459" cy="227286"/>
        </a:xfrm>
        <a:prstGeom prst="rect">
          <a:avLst/>
        </a:prstGeom>
        <a:solidFill>
          <a:schemeClr val="bg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tx1"/>
              </a:solidFill>
              <a:latin typeface="Ericsson Hilda Medium" panose="00000600000000000000" pitchFamily="2" charset="0"/>
            </a:rPr>
            <a:t>User</a:t>
          </a:r>
          <a:r>
            <a:rPr lang="en-US" sz="1100" b="1" baseline="0">
              <a:solidFill>
                <a:schemeClr val="tx1"/>
              </a:solidFill>
              <a:latin typeface="Ericsson Hilda Medium" panose="00000600000000000000" pitchFamily="2" charset="0"/>
            </a:rPr>
            <a:t> Controls</a:t>
          </a:r>
          <a:endParaRPr lang="en-US" sz="1100" b="1">
            <a:solidFill>
              <a:schemeClr val="tx1"/>
            </a:solidFill>
            <a:latin typeface="Ericsson Hilda Medium" panose="00000600000000000000" pitchFamily="2" charset="0"/>
          </a:endParaRPr>
        </a:p>
      </xdr:txBody>
    </xdr:sp>
    <xdr:clientData/>
  </xdr:twoCellAnchor>
  <xdr:twoCellAnchor>
    <xdr:from>
      <xdr:col>10</xdr:col>
      <xdr:colOff>251460</xdr:colOff>
      <xdr:row>11</xdr:row>
      <xdr:rowOff>53340</xdr:rowOff>
    </xdr:from>
    <xdr:to>
      <xdr:col>12</xdr:col>
      <xdr:colOff>38100</xdr:colOff>
      <xdr:row>13</xdr:row>
      <xdr:rowOff>114300</xdr:rowOff>
    </xdr:to>
    <xdr:sp macro="[0]!user_form_main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E252253E-0315-4864-8E63-C57033D8AD48}"/>
            </a:ext>
          </a:extLst>
        </xdr:cNvPr>
        <xdr:cNvSpPr/>
      </xdr:nvSpPr>
      <xdr:spPr>
        <a:xfrm>
          <a:off x="6347460" y="2202180"/>
          <a:ext cx="1005840" cy="42672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tx1"/>
              </a:solidFill>
              <a:latin typeface="Ericsson Hilda Medium" panose="00000600000000000000" pitchFamily="2" charset="0"/>
            </a:rPr>
            <a:t>Login</a:t>
          </a:r>
        </a:p>
      </xdr:txBody>
    </xdr:sp>
    <xdr:clientData/>
  </xdr:twoCellAnchor>
  <xdr:twoCellAnchor>
    <xdr:from>
      <xdr:col>8</xdr:col>
      <xdr:colOff>106680</xdr:colOff>
      <xdr:row>18</xdr:row>
      <xdr:rowOff>160020</xdr:rowOff>
    </xdr:from>
    <xdr:to>
      <xdr:col>14</xdr:col>
      <xdr:colOff>281940</xdr:colOff>
      <xdr:row>26</xdr:row>
      <xdr:rowOff>60960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691A04E-C7A8-4D54-83F3-7E51C36ED37B}"/>
            </a:ext>
          </a:extLst>
        </xdr:cNvPr>
        <xdr:cNvSpPr/>
      </xdr:nvSpPr>
      <xdr:spPr>
        <a:xfrm>
          <a:off x="4983480" y="3589020"/>
          <a:ext cx="3832860" cy="1363980"/>
        </a:xfrm>
        <a:prstGeom prst="round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464820</xdr:colOff>
      <xdr:row>18</xdr:row>
      <xdr:rowOff>22860</xdr:rowOff>
    </xdr:from>
    <xdr:to>
      <xdr:col>11</xdr:col>
      <xdr:colOff>54479</xdr:colOff>
      <xdr:row>19</xdr:row>
      <xdr:rowOff>67266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E7FFD554-3E1E-428A-9E26-194F7031A7BB}"/>
            </a:ext>
          </a:extLst>
        </xdr:cNvPr>
        <xdr:cNvSpPr txBox="1"/>
      </xdr:nvSpPr>
      <xdr:spPr>
        <a:xfrm>
          <a:off x="5341620" y="3451860"/>
          <a:ext cx="1418459" cy="227286"/>
        </a:xfrm>
        <a:prstGeom prst="rect">
          <a:avLst/>
        </a:prstGeom>
        <a:solidFill>
          <a:schemeClr val="bg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tx1"/>
              </a:solidFill>
              <a:latin typeface="Ericsson Hilda Medium" panose="00000600000000000000" pitchFamily="2" charset="0"/>
            </a:rPr>
            <a:t>Admin Panel</a:t>
          </a:r>
        </a:p>
      </xdr:txBody>
    </xdr:sp>
    <xdr:clientData/>
  </xdr:twoCellAnchor>
  <xdr:twoCellAnchor>
    <xdr:from>
      <xdr:col>9</xdr:col>
      <xdr:colOff>76200</xdr:colOff>
      <xdr:row>21</xdr:row>
      <xdr:rowOff>30480</xdr:rowOff>
    </xdr:from>
    <xdr:to>
      <xdr:col>11</xdr:col>
      <xdr:colOff>45720</xdr:colOff>
      <xdr:row>23</xdr:row>
      <xdr:rowOff>91440</xdr:rowOff>
    </xdr:to>
    <xdr:sp macro="[0]!update_data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1748E9B-ED94-485F-BAA3-F3BFC8CD599B}"/>
            </a:ext>
          </a:extLst>
        </xdr:cNvPr>
        <xdr:cNvSpPr/>
      </xdr:nvSpPr>
      <xdr:spPr>
        <a:xfrm>
          <a:off x="5562600" y="4008120"/>
          <a:ext cx="1188720" cy="42672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tx1"/>
              </a:solidFill>
              <a:latin typeface="Ericsson Hilda Medium" panose="00000600000000000000" pitchFamily="2" charset="0"/>
            </a:rPr>
            <a:t>Refresh Data</a:t>
          </a:r>
        </a:p>
      </xdr:txBody>
    </xdr:sp>
    <xdr:clientData/>
  </xdr:twoCellAnchor>
  <xdr:twoCellAnchor>
    <xdr:from>
      <xdr:col>11</xdr:col>
      <xdr:colOff>342900</xdr:colOff>
      <xdr:row>21</xdr:row>
      <xdr:rowOff>15240</xdr:rowOff>
    </xdr:from>
    <xdr:to>
      <xdr:col>13</xdr:col>
      <xdr:colOff>350520</xdr:colOff>
      <xdr:row>23</xdr:row>
      <xdr:rowOff>76200</xdr:rowOff>
    </xdr:to>
    <xdr:sp macro="[0]!convert_range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E3A540A2-AD43-4523-A4D8-0D2D73EB6C95}"/>
            </a:ext>
          </a:extLst>
        </xdr:cNvPr>
        <xdr:cNvSpPr/>
      </xdr:nvSpPr>
      <xdr:spPr>
        <a:xfrm>
          <a:off x="7048500" y="3992880"/>
          <a:ext cx="1226820" cy="42672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tx1"/>
              </a:solidFill>
              <a:latin typeface="Ericsson Hilda Medium" panose="00000600000000000000" pitchFamily="2" charset="0"/>
            </a:rPr>
            <a:t>Convert</a:t>
          </a:r>
          <a:r>
            <a:rPr lang="en-US" sz="1200" baseline="0">
              <a:solidFill>
                <a:schemeClr val="tx1"/>
              </a:solidFill>
              <a:latin typeface="Ericsson Hilda Medium" panose="00000600000000000000" pitchFamily="2" charset="0"/>
            </a:rPr>
            <a:t> Range</a:t>
          </a:r>
          <a:endParaRPr lang="en-US" sz="1200">
            <a:solidFill>
              <a:schemeClr val="tx1"/>
            </a:solidFill>
            <a:latin typeface="Ericsson Hilda Medium" panose="00000600000000000000" pitchFamily="2" charset="0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NNOWIN43169 HRGO_REPORTING Not_in_use_V_Payroll_RMEA_GEO_004" backgroundRefresh="0" connectionId="4" xr16:uid="{F7AD6221-E567-4E95-A613-65CE6D010811}" autoFormatId="16" applyNumberFormats="0" applyBorderFormats="0" applyFontFormats="0" applyPatternFormats="0" applyAlignmentFormats="0" applyWidthHeightFormats="0">
  <queryTableRefresh nextId="58">
    <queryTableFields count="57">
      <queryTableField id="1" name="Country Text" tableColumnId="1"/>
      <queryTableField id="2" name="CoCd" tableColumnId="2"/>
      <queryTableField id="3" name="Company Code" tableColumnId="3"/>
      <queryTableField id="4" name="PArea" tableColumnId="4"/>
      <queryTableField id="5" name="Payroll Area" tableColumnId="5"/>
      <queryTableField id="6" name="PERSONID_EXT" tableColumnId="6"/>
      <queryTableField id="7" name="Pers No " tableColumnId="7"/>
      <queryTableField id="8" name="Action Type" tableColumnId="8"/>
      <queryTableField id="9" name="EEGrp" tableColumnId="9"/>
      <queryTableField id="10" name="Employee Group" tableColumnId="10"/>
      <queryTableField id="11" name="Employee Subgroup" tableColumnId="11"/>
      <queryTableField id="12" name="Start date" tableColumnId="12"/>
      <queryTableField id="13" name="Last name" tableColumnId="13"/>
      <queryTableField id="14" name="First name" tableColumnId="14"/>
      <queryTableField id="15" name="ID number" tableColumnId="15"/>
      <queryTableField id="16" name="Title" tableColumnId="16"/>
      <queryTableField id="17" name="Gender Key" tableColumnId="17"/>
      <queryTableField id="18" name="Birth date" tableColumnId="18"/>
      <queryTableField id="19" name="Marital Status Key" tableColumnId="19"/>
      <queryTableField id="20" name="Cost ctr" tableColumnId="20"/>
      <queryTableField id="21" name="Cost Center" tableColumnId="21"/>
      <queryTableField id="22" name="Work Contract" tableColumnId="22"/>
      <queryTableField id="23" name="IBAN Number" tableColumnId="23"/>
      <queryTableField id="24" name="Bank key" tableColumnId="24"/>
      <queryTableField id="25" name="Bank account" tableColumnId="25"/>
      <queryTableField id="26" name="Address Record Type" tableColumnId="26"/>
      <queryTableField id="27" name="C/O name" tableColumnId="27"/>
      <queryTableField id="28" name="Street and house number" tableColumnId="28"/>
      <queryTableField id="29" name="2nd address line" tableColumnId="29"/>
      <queryTableField id="30" name="Postal code" tableColumnId="30"/>
      <queryTableField id="31" name="City" tableColumnId="31"/>
      <queryTableField id="32" name="Country key" tableColumnId="32"/>
      <queryTableField id="33" name="Annual salary - Stored" tableColumnId="33"/>
      <queryTableField id="34" name="Curr#" tableColumnId="34"/>
      <queryTableField id="35" name="UtilLvl" tableColumnId="35"/>
      <queryTableField id="36" name="Wage Type" tableColumnId="36"/>
      <queryTableField id="37" name="Amount" tableColumnId="37"/>
      <queryTableField id="38" name="MoHrs" tableColumnId="38"/>
      <queryTableField id="39" name="WS rule" tableColumnId="39"/>
      <queryTableField id="40" name="Work Schedule Rule" tableColumnId="40"/>
      <queryTableField id="41" name="DailyHrs" tableColumnId="41"/>
      <queryTableField id="42" name="WkDys" tableColumnId="42"/>
      <queryTableField id="43" name="Chngd on" tableColumnId="43"/>
      <queryTableField id="44" name="Changed by" tableColumnId="44"/>
      <queryTableField id="45" name="Prev#per#no#" tableColumnId="45"/>
      <queryTableField id="46" name="Ericsson Email Address" tableColumnId="46"/>
      <queryTableField id="47" name="Organizational Unit Name" tableColumnId="47"/>
      <queryTableField id="48" name="Corporate ID" tableColumnId="48"/>
      <queryTableField id="49" name="Position" tableColumnId="49"/>
      <queryTableField id="50" name="Position1" tableColumnId="50"/>
      <queryTableField id="51" name="Manager Corporate ID (A012)" tableColumnId="51"/>
      <queryTableField id="52" name="Manager PERNR (via A012)" tableColumnId="52"/>
      <queryTableField id="53" name="Name of Manager (OM)" tableColumnId="53"/>
      <queryTableField id="54" name="Manager NAME (via A012)" tableColumnId="54"/>
      <queryTableField id="55" name="Personnel Subarea" tableColumnId="55"/>
      <queryTableField id="56" name="Reason for Action" tableColumnId="56"/>
      <queryTableField id="57" name="Reporting Period" tableColumnId="5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nnowin43169 HRGO_REPORTING Not_in_use_V_Payroll_RMEA_GEO_004" backgroundRefresh="0" connectionId="1" xr16:uid="{12783E82-615F-4786-A6B3-09EFBB0AAA84}" autoFormatId="16" applyNumberFormats="0" applyBorderFormats="0" applyFontFormats="0" applyPatternFormats="0" applyAlignmentFormats="0" applyWidthHeightFormats="0">
  <queryTableRefresh nextId="24">
    <queryTableFields count="23">
      <queryTableField id="1" name="Country Text" tableColumnId="1"/>
      <queryTableField id="2" name="Cocd" tableColumnId="2"/>
      <queryTableField id="3" name="Company Code" tableColumnId="3"/>
      <queryTableField id="4" name="PArea" tableColumnId="4"/>
      <queryTableField id="5" name="Payroll Area" tableColumnId="5"/>
      <queryTableField id="6" name="PERSONID_EXT" tableColumnId="6"/>
      <queryTableField id="7" name="Pers No" tableColumnId="7"/>
      <queryTableField id="8" name="Last Name" tableColumnId="8"/>
      <queryTableField id="9" name="First name" tableColumnId="9"/>
      <queryTableField id="10" name="EEGrp" tableColumnId="10"/>
      <queryTableField id="11" name="Employee Group" tableColumnId="11"/>
      <queryTableField id="12" name="ESgrp" tableColumnId="12"/>
      <queryTableField id="13" name="Employee Subgroup" tableColumnId="13"/>
      <queryTableField id="14" name="Origin dt" tableColumnId="14"/>
      <queryTableField id="15" name="Wage type" tableColumnId="15"/>
      <queryTableField id="16" name="Wage Type1" tableColumnId="16"/>
      <queryTableField id="17" name="Amount" tableColumnId="17"/>
      <queryTableField id="18" name="Curr" tableColumnId="18"/>
      <queryTableField id="19" name="Assignment number" tableColumnId="19"/>
      <queryTableField id="20" name="Changed by" tableColumnId="20"/>
      <queryTableField id="21" name="Chngd on" tableColumnId="21"/>
      <queryTableField id="22" name="Prev per no" tableColumnId="22"/>
      <queryTableField id="23" name="Reporting Period" tableColumnId="2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NNOWIN43169 HRGO_REPORTING Not_in_use_V_Payroll_RMEA_GEO_004" backgroundRefresh="0" connectionId="5" xr16:uid="{41921E22-EFD2-489F-BEC0-B6DC077A853D}" autoFormatId="16" applyNumberFormats="0" applyBorderFormats="0" applyFontFormats="0" applyPatternFormats="0" applyAlignmentFormats="0" applyWidthHeightFormats="0">
  <queryTableRefresh nextId="16">
    <queryTableFields count="15">
      <queryTableField id="1" name="Country Text" tableColumnId="1"/>
      <queryTableField id="2" name="CoCd" tableColumnId="2"/>
      <queryTableField id="3" name="Company Code" tableColumnId="3"/>
      <queryTableField id="4" name="PArea" tableColumnId="4"/>
      <queryTableField id="5" name="Payroll Area" tableColumnId="5"/>
      <queryTableField id="6" name="PERSONID_EXT" tableColumnId="6"/>
      <queryTableField id="7" name="Pers No " tableColumnId="7"/>
      <queryTableField id="8" name="Last name" tableColumnId="8"/>
      <queryTableField id="9" name="First name" tableColumnId="9"/>
      <queryTableField id="10" name="EEGrp" tableColumnId="10"/>
      <queryTableField id="11" name="Employee Group" tableColumnId="11"/>
      <queryTableField id="12" name="ESgrp" tableColumnId="12"/>
      <queryTableField id="13" name="Employee Subgroup" tableColumnId="13"/>
      <queryTableField id="14" name="Chngd on" tableColumnId="14"/>
      <queryTableField id="15" name="Reporting Period" tableColumnId="1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NNOWIN43169 HRGO_REPORTING Not_in_use_V_Payroll_RMEA_GEO_004" backgroundRefresh="0" connectionId="2" xr16:uid="{CE6C056E-2D21-48B5-B065-093C6ED0F59B}" autoFormatId="16" applyNumberFormats="0" applyBorderFormats="0" applyFontFormats="0" applyPatternFormats="0" applyAlignmentFormats="0" applyWidthHeightFormats="0">
  <queryTableRefresh nextId="25">
    <queryTableFields count="24">
      <queryTableField id="1" name="Country Text" tableColumnId="1"/>
      <queryTableField id="2" name="CoCd" tableColumnId="2"/>
      <queryTableField id="3" name="Company Code" tableColumnId="3"/>
      <queryTableField id="4" name="PArea" tableColumnId="4"/>
      <queryTableField id="5" name="Payroll Area" tableColumnId="5"/>
      <queryTableField id="6" name="PERSONID_EXT" tableColumnId="6"/>
      <queryTableField id="7" name="Pers No" tableColumnId="7"/>
      <queryTableField id="8" name="Last Name" tableColumnId="8"/>
      <queryTableField id="9" name="First Name" tableColumnId="9"/>
      <queryTableField id="10" name="EEGrp" tableColumnId="10"/>
      <queryTableField id="11" name="Employee Group" tableColumnId="11"/>
      <queryTableField id="12" name="ESgrp" tableColumnId="12"/>
      <queryTableField id="13" name="Employee Subgroup" tableColumnId="13"/>
      <queryTableField id="14" name="Start Date" tableColumnId="14"/>
      <queryTableField id="15" name="Reason for Changing Master Dat" tableColumnId="15"/>
      <queryTableField id="16" name="UtilLvl" tableColumnId="16"/>
      <queryTableField id="17" name="Wage Type" tableColumnId="17"/>
      <queryTableField id="18" name="Amount" tableColumnId="18"/>
      <queryTableField id="19" name="Curr" tableColumnId="19"/>
      <queryTableField id="20" name="Number" tableColumnId="20"/>
      <queryTableField id="21" name="Changed by" tableColumnId="21"/>
      <queryTableField id="22" name="Chngd on" tableColumnId="22"/>
      <queryTableField id="23" name="Prev per no" tableColumnId="23"/>
      <queryTableField id="24" name="Reporting Period" tableColumnId="2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NNOWIN43169 HRGO_REPORTING Not_in_use_V_Payroll_RMEA_GEO_004" backgroundRefresh="0" connectionId="6" xr16:uid="{CC0A6D36-63CA-40BA-B852-1F79D38C6A5F}" autoFormatId="16" applyNumberFormats="0" applyBorderFormats="0" applyFontFormats="0" applyPatternFormats="0" applyAlignmentFormats="0" applyWidthHeightFormats="0">
  <queryTableRefresh nextId="50">
    <queryTableFields count="49">
      <queryTableField id="1" name="Country Text" tableColumnId="1"/>
      <queryTableField id="2" name="CoCd" tableColumnId="2"/>
      <queryTableField id="3" name="Company Code" tableColumnId="3"/>
      <queryTableField id="4" name="PArea" tableColumnId="4"/>
      <queryTableField id="5" name="Payroll Area" tableColumnId="5"/>
      <queryTableField id="6" name="PERSONID_EXT" tableColumnId="6"/>
      <queryTableField id="7" name="Pers No" tableColumnId="7"/>
      <queryTableField id="8" name="Last name" tableColumnId="8"/>
      <queryTableField id="9" name="First name" tableColumnId="9"/>
      <queryTableField id="10" name="EEGrp" tableColumnId="10"/>
      <queryTableField id="11" name="Employee Group" tableColumnId="11"/>
      <queryTableField id="12" name="ESgrp" tableColumnId="12"/>
      <queryTableField id="13" name="Employee Subgroup" tableColumnId="13"/>
      <queryTableField id="14" name="Infotype" tableColumnId="14"/>
      <queryTableField id="15" name="Subtype" tableColumnId="15"/>
      <queryTableField id="16" name="IBAN Number" tableColumnId="16"/>
      <queryTableField id="17" name="End date" tableColumnId="17"/>
      <queryTableField id="18" name="Start date" tableColumnId="18"/>
      <queryTableField id="19" name="Chngd on" tableColumnId="19"/>
      <queryTableField id="20" name="Changed by" tableColumnId="20"/>
      <queryTableField id="21" name="Reference Fields Exist Primary" tableColumnId="21"/>
      <queryTableField id="22" name="Payment Currency" tableColumnId="22"/>
      <queryTableField id="23" name="Type of Bank Details Record" tableColumnId="23"/>
      <queryTableField id="24" name="Payment Method" tableColumnId="24"/>
      <queryTableField id="25" name="Payee" tableColumnId="25"/>
      <queryTableField id="26" name="Postal code" tableColumnId="26"/>
      <queryTableField id="27" name="City" tableColumnId="27"/>
      <queryTableField id="28" name="Bank country key" tableColumnId="28"/>
      <queryTableField id="29" name="Bank key" tableColumnId="29"/>
      <queryTableField id="30" name="Bank key Text" tableColumnId="30"/>
      <queryTableField id="31" name="Bank account" tableColumnId="31"/>
      <queryTableField id="32" name="CD" tableColumnId="32"/>
      <queryTableField id="33" name="CK" tableColumnId="33"/>
      <queryTableField id="34" name="SWIFT code" tableColumnId="34"/>
      <queryTableField id="35" name="Post bank no" tableColumnId="35"/>
      <queryTableField id="36" name="PayeeKey" tableColumnId="36"/>
      <queryTableField id="37" name="Purpose" tableColumnId="37"/>
      <queryTableField id="38" name="Transfer Type" tableColumnId="38"/>
      <queryTableField id="39" name="Reference details" tableColumnId="39"/>
      <queryTableField id="40" name="House number and street" tableColumnId="40"/>
      <queryTableField id="41" name="Region State Province Count" tableColumnId="41"/>
      <queryTableField id="42" name="Bank information Bank name c" tableColumnId="42"/>
      <queryTableField id="43" name="Name of employee or applicant" tableColumnId="43"/>
      <queryTableField id="44" name="Last name First name" tableColumnId="44"/>
      <queryTableField id="45" name="RNo" tableColumnId="45"/>
      <queryTableField id="46" name="Std value" tableColumnId="46"/>
      <queryTableField id="47" name="Crcy" tableColumnId="47"/>
      <queryTableField id="48" name="Standard Pct" tableColumnId="48"/>
      <queryTableField id="49" name="Reporting Period" tableColumnId="49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NNOWIN43169 HRGO_REPORTING Not_in_use_V_Payroll_RMEA_GEO_004" backgroundRefresh="0" connectionId="7" xr16:uid="{4CFEA1B7-FF99-40FF-BAB1-14B97BE4C0B5}" autoFormatId="16" applyNumberFormats="0" applyBorderFormats="0" applyFontFormats="0" applyPatternFormats="0" applyAlignmentFormats="0" applyWidthHeightFormats="0">
  <queryTableRefresh nextId="60">
    <queryTableFields count="59">
      <queryTableField id="1" name="Country Text" tableColumnId="1"/>
      <queryTableField id="2" name="CoCd" tableColumnId="2"/>
      <queryTableField id="3" name="Company Code" tableColumnId="3"/>
      <queryTableField id="4" name="PArea" tableColumnId="4"/>
      <queryTableField id="5" name="Payroll Area" tableColumnId="5"/>
      <queryTableField id="6" name="PERSONID_EXT" tableColumnId="6"/>
      <queryTableField id="7" name="Pers No " tableColumnId="7"/>
      <queryTableField id="8" name="Last name" tableColumnId="8"/>
      <queryTableField id="9" name="First name" tableColumnId="9"/>
      <queryTableField id="10" name="Employee Group" tableColumnId="10"/>
      <queryTableField id="11" name="Date of Birth for Achievers" tableColumnId="11"/>
      <queryTableField id="12" name="Infotype" tableColumnId="12"/>
      <queryTableField id="13" name="End date" tableColumnId="13"/>
      <queryTableField id="14" name="Start date" tableColumnId="14"/>
      <queryTableField id="15" name="RNo" tableColumnId="15"/>
      <queryTableField id="16" name="Chngd on" tableColumnId="16"/>
      <queryTableField id="17" name="Changed by" tableColumnId="17"/>
      <queryTableField id="18" name="Initials" tableColumnId="18"/>
      <queryTableField id="19" name="Name at birth" tableColumnId="19"/>
      <queryTableField id="20" name="Second name" tableColumnId="20"/>
      <queryTableField id="21" name="Complete name" tableColumnId="21"/>
      <queryTableField id="22" name="Second title" tableColumnId="22"/>
      <queryTableField id="23" name="Other title" tableColumnId="23"/>
      <queryTableField id="24" name="Title" tableColumnId="24"/>
      <queryTableField id="25" name="Name prefix" tableColumnId="25"/>
      <queryTableField id="26" name="Name prefix 2" tableColumnId="26"/>
      <queryTableField id="27" name="Known as" tableColumnId="27"/>
      <queryTableField id="28" name="Middle name" tableColumnId="28"/>
      <queryTableField id="29" name="NI" tableColumnId="29"/>
      <queryTableField id="30" name="Form-of-Address Key" tableColumnId="30"/>
      <queryTableField id="31" name="Gender Key" tableColumnId="31"/>
      <queryTableField id="32" name="Birth date" tableColumnId="32"/>
      <queryTableField id="33" name="Country of Birth" tableColumnId="33"/>
      <queryTableField id="34" name="State" tableColumnId="34"/>
      <queryTableField id="35" name="Birthplace" tableColumnId="35"/>
      <queryTableField id="36" name="Nationality" tableColumnId="36"/>
      <queryTableField id="37" name="Third Nationality" tableColumnId="37"/>
      <queryTableField id="38" name="Second Nationality" tableColumnId="38"/>
      <queryTableField id="39" name="Language of communication" tableColumnId="39"/>
      <queryTableField id="40" name="Religious Denomination Key" tableColumnId="40"/>
      <queryTableField id="41" name="Marital Status Key" tableColumnId="41"/>
      <queryTableField id="42" name="MS since" tableColumnId="42"/>
      <queryTableField id="43" name="No ch" tableColumnId="43"/>
      <queryTableField id="44" name="NC" tableColumnId="44"/>
      <queryTableField id="45" name="PM" tableColumnId="45"/>
      <queryTableField id="46" name="ID number" tableColumnId="46"/>
      <queryTableField id="47" name="Birth date1" tableColumnId="47"/>
      <queryTableField id="48" name="Name of Birth (Katakana)" tableColumnId="48"/>
      <queryTableField id="49" name="Name of Birth (Romaji)" tableColumnId="49"/>
      <queryTableField id="50" name="Koseki   (Katakana)" tableColumnId="50"/>
      <queryTableField id="51" name="Koseki   (Romaji)" tableColumnId="51"/>
      <queryTableField id="52" name="Year" tableColumnId="52"/>
      <queryTableField id="53" name="Mon" tableColumnId="53"/>
      <queryTableField id="54" name="Date" tableColumnId="54"/>
      <queryTableField id="55" name="Name Affix for Name at Birth" tableColumnId="55"/>
      <queryTableField id="56" name="DoB" tableColumnId="56"/>
      <queryTableField id="57" name="Age of employee" tableColumnId="57"/>
      <queryTableField id="58" name="Age" tableColumnId="58"/>
      <queryTableField id="59" name="Reporting Period" tableColumnId="59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NNOWIN43169 HRGO_REPORTING Not_in_use_V_Payroll_RMEA_GEO_004" backgroundRefresh="0" connectionId="8" xr16:uid="{78A5713D-13A8-495A-9E13-2674343B8A6A}" autoFormatId="16" applyNumberFormats="0" applyBorderFormats="0" applyFontFormats="0" applyPatternFormats="0" applyAlignmentFormats="0" applyWidthHeightFormats="0">
  <queryTableRefresh nextId="17">
    <queryTableFields count="16">
      <queryTableField id="1" name="Country Text" tableColumnId="1"/>
      <queryTableField id="2" name="CoCd" tableColumnId="2"/>
      <queryTableField id="3" name="Company Code" tableColumnId="3"/>
      <queryTableField id="4" name="PArea" tableColumnId="4"/>
      <queryTableField id="5" name="Payroll Area" tableColumnId="5"/>
      <queryTableField id="6" name="PERSONID_EXT" tableColumnId="6"/>
      <queryTableField id="7" name="Pers No " tableColumnId="7"/>
      <queryTableField id="8" name="Last name" tableColumnId="8"/>
      <queryTableField id="9" name="First name" tableColumnId="9"/>
      <queryTableField id="10" name="Employee Group" tableColumnId="10"/>
      <queryTableField id="11" name="Start date" tableColumnId="11"/>
      <queryTableField id="12" name="Reason for Action" tableColumnId="12"/>
      <queryTableField id="13" name="Changed by" tableColumnId="13"/>
      <queryTableField id="14" name="Chngd on" tableColumnId="14"/>
      <queryTableField id="15" name="Prev per no " tableColumnId="15"/>
      <queryTableField id="16" name="Reporting Period" tableColumnId="1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NNOWIN43169 HRGO_REPORTING Not_in_use_V_Payroll_RMEA_GEO_004" backgroundRefresh="0" connectionId="9" xr16:uid="{B97F15A4-B227-414A-B831-FC8F7BDD2088}" autoFormatId="16" applyNumberFormats="0" applyBorderFormats="0" applyFontFormats="0" applyPatternFormats="0" applyAlignmentFormats="0" applyWidthHeightFormats="0">
  <queryTableRefresh nextId="17">
    <queryTableFields count="16">
      <queryTableField id="1" name="Country Text" tableColumnId="1"/>
      <queryTableField id="2" name="CoCd" tableColumnId="2"/>
      <queryTableField id="3" name="Company Code" tableColumnId="3"/>
      <queryTableField id="4" name="PArea" tableColumnId="4"/>
      <queryTableField id="5" name="Payroll Area" tableColumnId="5"/>
      <queryTableField id="6" name="PERSONID_EXT" tableColumnId="6"/>
      <queryTableField id="7" name="Pers No" tableColumnId="7"/>
      <queryTableField id="8" name="Last name" tableColumnId="8"/>
      <queryTableField id="9" name="First name" tableColumnId="9"/>
      <queryTableField id="10" name="EEGrp" tableColumnId="10"/>
      <queryTableField id="11" name="Employee Group" tableColumnId="11"/>
      <queryTableField id="12" name="Start date" tableColumnId="12"/>
      <queryTableField id="13" name="Personnel Subarea" tableColumnId="13"/>
      <queryTableField id="14" name="Buildings" tableColumnId="14"/>
      <queryTableField id="15" name="Chngd on" tableColumnId="15"/>
      <queryTableField id="16" name="Reporting Period" tableColumnId="16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NNOWIN43169 HRGO_REPORTING Not_in_use_V_Payroll_RMEA_GEO_004" backgroundRefresh="0" connectionId="10" xr16:uid="{2C3F0356-19D9-4A1A-B272-BF2F4C7DC7A9}" autoFormatId="16" applyNumberFormats="0" applyBorderFormats="0" applyFontFormats="0" applyPatternFormats="0" applyAlignmentFormats="0" applyWidthHeightFormats="0">
  <queryTableRefresh nextId="23">
    <queryTableFields count="22">
      <queryTableField id="1" name="Country Text" tableColumnId="1"/>
      <queryTableField id="2" name="CoCd" tableColumnId="2"/>
      <queryTableField id="3" name="Company Code" tableColumnId="3"/>
      <queryTableField id="4" name="PArea" tableColumnId="4"/>
      <queryTableField id="5" name="Payroll Area" tableColumnId="5"/>
      <queryTableField id="6" name="PERSONID_EXT" tableColumnId="6"/>
      <queryTableField id="7" name="Pers no" tableColumnId="7"/>
      <queryTableField id="8" name="Last name" tableColumnId="8"/>
      <queryTableField id="9" name="First name" tableColumnId="9"/>
      <queryTableField id="10" name="EEGrp" tableColumnId="10"/>
      <queryTableField id="11" name="Employee Group" tableColumnId="11"/>
      <queryTableField id="12" name="ESgrp" tableColumnId="12"/>
      <queryTableField id="13" name="Employee Subgroup" tableColumnId="13"/>
      <queryTableField id="14" name="Start date" tableColumnId="14"/>
      <queryTableField id="15" name="WS rule" tableColumnId="15"/>
      <queryTableField id="16" name="Work Schedule Rule" tableColumnId="16"/>
      <queryTableField id="17" name="Checkbox for Part-Time Employee" tableColumnId="17"/>
      <queryTableField id="18" name="UtilLvl" tableColumnId="18"/>
      <queryTableField id="19" name="Changed by" tableColumnId="19"/>
      <queryTableField id="20" name="Chngd on" tableColumnId="20"/>
      <queryTableField id="21" name="Prev per no" tableColumnId="21"/>
      <queryTableField id="22" name="Reporting Period" tableColumnId="2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NNOWIN43169 HRGO_REPORTING Not_in_use_V_Payroll_RMEA_GEO_004" backgroundRefresh="0" connectionId="11" xr16:uid="{3FD4A61C-043D-4931-AACD-1B547D72DB50}" autoFormatId="16" applyNumberFormats="0" applyBorderFormats="0" applyFontFormats="0" applyPatternFormats="0" applyAlignmentFormats="0" applyWidthHeightFormats="0">
  <queryTableRefresh nextId="52">
    <queryTableFields count="51">
      <queryTableField id="1" name="Country Text" tableColumnId="1"/>
      <queryTableField id="2" name="CoCd" tableColumnId="2"/>
      <queryTableField id="3" name="Company Code" tableColumnId="3"/>
      <queryTableField id="4" name="PArea" tableColumnId="4"/>
      <queryTableField id="5" name="Payroll Area" tableColumnId="5"/>
      <queryTableField id="6" name="PERSONID_EXT" tableColumnId="6"/>
      <queryTableField id="7" name="Pers no" tableColumnId="7"/>
      <queryTableField id="8" name="Last name" tableColumnId="8"/>
      <queryTableField id="9" name="First name" tableColumnId="9"/>
      <queryTableField id="10" name="EEGrp" tableColumnId="10"/>
      <queryTableField id="11" name="Employee Group" tableColumnId="11"/>
      <queryTableField id="12" name="ESgrp" tableColumnId="12"/>
      <queryTableField id="13" name="Employee Subgroup" tableColumnId="13"/>
      <queryTableField id="14" name="RNo" tableColumnId="14"/>
      <queryTableField id="15" name="Address Record Type" tableColumnId="15"/>
      <queryTableField id="16" name="Infotype" tableColumnId="16"/>
      <queryTableField id="17" name="Subtype" tableColumnId="17"/>
      <queryTableField id="18" name="End date" tableColumnId="18"/>
      <queryTableField id="19" name="Start date" tableColumnId="19"/>
      <queryTableField id="20" name="Chngd on" tableColumnId="20"/>
      <queryTableField id="21" name="Changed by" tableColumnId="21"/>
      <queryTableField id="22" name="CO name" tableColumnId="22"/>
      <queryTableField id="23" name="Supplier Address (ZD1 Care Of)" tableColumnId="23"/>
      <queryTableField id="24" name="Street and house number" tableColumnId="24"/>
      <queryTableField id="25" name="City" tableColumnId="25"/>
      <queryTableField id="26" name="District" tableColumnId="26"/>
      <queryTableField id="27" name="Postal code" tableColumnId="27"/>
      <queryTableField id="28" name="Country key" tableColumnId="28"/>
      <queryTableField id="29" name="Telephone no" tableColumnId="29"/>
      <queryTableField id="30" name="Kms" tableColumnId="30"/>
      <queryTableField id="31" name="Bus" tableColumnId="31"/>
      <queryTableField id="32" name="2nd address line" tableColumnId="32"/>
      <queryTableField id="33" name="Street 2" tableColumnId="33"/>
      <queryTableField id="34" name="Street 3" tableColumnId="34"/>
      <queryTableField id="35" name="Region (State Province Count)" tableColumnId="35"/>
      <queryTableField id="36" name="House" tableColumnId="36"/>
      <queryTableField id="37" name="Aptmt" tableColumnId="37"/>
      <queryTableField id="38" name="Municipal city code" tableColumnId="38"/>
      <queryTableField id="39" name="County Code" tableColumnId="39"/>
      <queryTableField id="40" name="Indicator for relationship (sp)" tableColumnId="40"/>
      <queryTableField id="41" name="Number" tableColumnId="41"/>
      <queryTableField id="42" name="Type" tableColumnId="42"/>
      <queryTableField id="43" name="Street Abbreviation" tableColumnId="43"/>
      <queryTableField id="44" name="Floor" tableColumnId="44"/>
      <queryTableField id="45" name="Buildings" tableColumnId="45"/>
      <queryTableField id="46" name="CH" tableColumnId="46"/>
      <queryTableField id="47" name="City (Katakana)" tableColumnId="47"/>
      <queryTableField id="48" name="City Distr (Katakana)" tableColumnId="48"/>
      <queryTableField id="49" name="Contact person (katakana)" tableColumnId="49"/>
      <queryTableField id="50" name="Kms1" tableColumnId="50"/>
      <queryTableField id="51" name="Reporting Period" tableColumnId="51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NNOWIN43169 HRGO_REPORTING Not_in_use_V_Payroll_RMEA_GEO_004" backgroundRefresh="0" connectionId="12" xr16:uid="{23719177-9CD9-4FAF-A129-A43093D21CCD}" autoFormatId="16" applyNumberFormats="0" applyBorderFormats="0" applyFontFormats="0" applyPatternFormats="0" applyAlignmentFormats="0" applyWidthHeightFormats="0">
  <queryTableRefresh nextId="16">
    <queryTableFields count="15">
      <queryTableField id="1" name="Country Text" tableColumnId="1"/>
      <queryTableField id="2" name="CoCd" tableColumnId="2"/>
      <queryTableField id="3" name="Company Code" tableColumnId="3"/>
      <queryTableField id="4" name="PArea" tableColumnId="4"/>
      <queryTableField id="5" name="Payroll Area" tableColumnId="5"/>
      <queryTableField id="6" name="PERSONID_EXT" tableColumnId="6"/>
      <queryTableField id="7" name="Pers No" tableColumnId="7"/>
      <queryTableField id="8" name="Last name" tableColumnId="8"/>
      <queryTableField id="9" name="First name" tableColumnId="9"/>
      <queryTableField id="10" name="Start date" tableColumnId="10"/>
      <queryTableField id="11" name="Reason for Action" tableColumnId="11"/>
      <queryTableField id="12" name="Changed by" tableColumnId="12"/>
      <queryTableField id="13" name="Chngd on" tableColumnId="13"/>
      <queryTableField id="14" name="Prev per no" tableColumnId="14"/>
      <queryTableField id="15" name="Reporting Period" tableColumnId="15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NNOWIN43169 HRGO_REPORTING Not_in_use_V_Payroll_RMEA_GEO_004" backgroundRefresh="0" connectionId="3" xr16:uid="{9F783E02-67AF-4A6A-BA73-037F2B0C5C1C}" autoFormatId="16" applyNumberFormats="0" applyBorderFormats="0" applyFontFormats="0" applyPatternFormats="0" applyAlignmentFormats="0" applyWidthHeightFormats="0">
  <queryTableRefresh nextId="18">
    <queryTableFields count="17">
      <queryTableField id="1" name="Country Text" tableColumnId="1"/>
      <queryTableField id="2" name="CoCd" tableColumnId="2"/>
      <queryTableField id="3" name="Company Code" tableColumnId="3"/>
      <queryTableField id="4" name="PArea" tableColumnId="4"/>
      <queryTableField id="5" name="Payroll Area" tableColumnId="5"/>
      <queryTableField id="6" name="PERSONID_EXT" tableColumnId="6"/>
      <queryTableField id="7" name="Pers no " tableColumnId="7"/>
      <queryTableField id="8" name="Start date" tableColumnId="8"/>
      <queryTableField id="9" name="Last name" tableColumnId="9"/>
      <queryTableField id="10" name="First name" tableColumnId="10"/>
      <queryTableField id="11" name="Employee Group" tableColumnId="11"/>
      <queryTableField id="12" name="Action Type" tableColumnId="12"/>
      <queryTableField id="13" name="Reason for Action" tableColumnId="13"/>
      <queryTableField id="14" name="Chngd on" tableColumnId="14"/>
      <queryTableField id="15" name="Changed by" tableColumnId="15"/>
      <queryTableField id="16" name="Prev per no " tableColumnId="16"/>
      <queryTableField id="17" name="Reporting Period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46F489-71FF-44B7-8FE7-E3B6C3C7478A}" name="Table_INNOWIN43169_HRGO_REPORTING_Not_in_use_V_Payroll_RMEA_GEO_0042" displayName="Table_INNOWIN43169_HRGO_REPORTING_Not_in_use_V_Payroll_RMEA_GEO_0042" ref="A1:BE2" tableType="queryTable" insertRow="1" totalsRowShown="0">
  <tableColumns count="57">
    <tableColumn id="1" xr3:uid="{BEC2A4A0-0CEA-4744-816B-FBA7D00BA8FC}" uniqueName="1" name="Country Text" queryTableFieldId="1"/>
    <tableColumn id="2" xr3:uid="{B7F41B3E-4626-43BD-AA09-BC4CC2913696}" uniqueName="2" name="CoCd" queryTableFieldId="2"/>
    <tableColumn id="3" xr3:uid="{15972D90-0506-4B3D-AF41-F8BEE65CFF3C}" uniqueName="3" name="Company Code" queryTableFieldId="3"/>
    <tableColumn id="4" xr3:uid="{BAC5DBE0-76A8-478E-A17D-BB549EDCF0B6}" uniqueName="4" name="PArea" queryTableFieldId="4"/>
    <tableColumn id="5" xr3:uid="{A75025A2-626D-4ED2-81F2-532D9D2831B1}" uniqueName="5" name="Payroll Area" queryTableFieldId="5"/>
    <tableColumn id="6" xr3:uid="{13021C8C-5C25-426F-B5FA-F94CF7C6CC12}" uniqueName="6" name="PERSONID_EXT" queryTableFieldId="6"/>
    <tableColumn id="7" xr3:uid="{1A396467-1234-4C27-BB81-68F5DBC63579}" uniqueName="7" name="Pers No " queryTableFieldId="7"/>
    <tableColumn id="8" xr3:uid="{FBBF3A9B-E0A5-4E03-B546-F3334C24C5DF}" uniqueName="8" name="Action Type" queryTableFieldId="8"/>
    <tableColumn id="9" xr3:uid="{BE3A2538-ABE3-463F-A1E1-D0F7C9999F6E}" uniqueName="9" name="EEGrp" queryTableFieldId="9"/>
    <tableColumn id="10" xr3:uid="{4F10FA11-07F2-49B1-9FD8-C3CE1BF6E751}" uniqueName="10" name="Employee Group" queryTableFieldId="10"/>
    <tableColumn id="11" xr3:uid="{D028F913-6D50-4863-B505-2DDBFB17DC6B}" uniqueName="11" name="Employee Subgroup" queryTableFieldId="11"/>
    <tableColumn id="12" xr3:uid="{08646683-009E-45DE-92CC-A9C364A565F2}" uniqueName="12" name="Start date" queryTableFieldId="12" dataDxfId="15"/>
    <tableColumn id="13" xr3:uid="{551B5267-AF7B-43C3-A243-2B1E9D0E6A37}" uniqueName="13" name="Last name" queryTableFieldId="13"/>
    <tableColumn id="14" xr3:uid="{653A2745-E6E9-4EBA-A75B-4E655EF99AAC}" uniqueName="14" name="First name" queryTableFieldId="14"/>
    <tableColumn id="15" xr3:uid="{AA7C9B11-C85C-45CB-BDDD-A0CEEAEC5723}" uniqueName="15" name="ID number" queryTableFieldId="15"/>
    <tableColumn id="16" xr3:uid="{629EDFBF-544B-41FD-A720-BDC2751DB099}" uniqueName="16" name="Title" queryTableFieldId="16"/>
    <tableColumn id="17" xr3:uid="{EB1E9ABB-B61D-4153-840C-1F4592242ACC}" uniqueName="17" name="Gender Key" queryTableFieldId="17"/>
    <tableColumn id="18" xr3:uid="{57E4E58D-CD4C-40FF-9126-B4E460A3A385}" uniqueName="18" name="Birth date" queryTableFieldId="18" dataDxfId="14"/>
    <tableColumn id="19" xr3:uid="{B787EF52-AFC8-40AD-B427-2478B821D539}" uniqueName="19" name="Marital Status Key" queryTableFieldId="19"/>
    <tableColumn id="20" xr3:uid="{1F1DC493-BC9B-4EAD-ACA5-A9656E3D74BF}" uniqueName="20" name="Cost ctr" queryTableFieldId="20"/>
    <tableColumn id="21" xr3:uid="{9F61F878-8E58-4B2D-9939-736E1651A216}" uniqueName="21" name="Cost Center" queryTableFieldId="21"/>
    <tableColumn id="22" xr3:uid="{48969A1C-86FD-4E63-95AC-70643A8186B6}" uniqueName="22" name="Work Contract" queryTableFieldId="22"/>
    <tableColumn id="23" xr3:uid="{F4501305-7983-480F-87B5-5649E8F1654C}" uniqueName="23" name="IBAN Number" queryTableFieldId="23"/>
    <tableColumn id="24" xr3:uid="{4E647699-7CB7-4D8D-9AB1-53FD718C157C}" uniqueName="24" name="Bank key" queryTableFieldId="24"/>
    <tableColumn id="25" xr3:uid="{6D46C7D7-DBFA-40BC-89C1-E547D7BCC4DB}" uniqueName="25" name="Bank account" queryTableFieldId="25"/>
    <tableColumn id="26" xr3:uid="{4324A5FC-1A99-4CF0-B900-8560E4065ECA}" uniqueName="26" name="Address Record Type" queryTableFieldId="26"/>
    <tableColumn id="27" xr3:uid="{3BDFD97E-44A4-465F-9339-B863E5F305B2}" uniqueName="27" name="C/O name" queryTableFieldId="27"/>
    <tableColumn id="28" xr3:uid="{AC0C04FB-BD9B-4E72-B64B-6F1C305E77BA}" uniqueName="28" name="Street and house number" queryTableFieldId="28"/>
    <tableColumn id="29" xr3:uid="{F002D2DA-D30A-4201-8D0D-88C81B8C18E2}" uniqueName="29" name="2nd address line" queryTableFieldId="29"/>
    <tableColumn id="30" xr3:uid="{86C02D98-6FA2-4474-A0E8-0AA223ACF275}" uniqueName="30" name="Postal code" queryTableFieldId="30"/>
    <tableColumn id="31" xr3:uid="{3D555735-63A7-4038-8CBB-1D82BCCBE8BF}" uniqueName="31" name="City" queryTableFieldId="31"/>
    <tableColumn id="32" xr3:uid="{5574A280-A0FF-4C06-AC47-097F37C30279}" uniqueName="32" name="Country key" queryTableFieldId="32"/>
    <tableColumn id="33" xr3:uid="{107CB90F-7416-4F4C-88FA-6A244DEC641B}" uniqueName="33" name="Annual salary - Stored" queryTableFieldId="33"/>
    <tableColumn id="34" xr3:uid="{04A9A368-A597-49B9-ABB1-3E1DE6D6429D}" uniqueName="34" name="Curr#" queryTableFieldId="34"/>
    <tableColumn id="35" xr3:uid="{23FDCB4D-667A-4E45-82AA-E5440E89A8EB}" uniqueName="35" name="UtilLvl" queryTableFieldId="35"/>
    <tableColumn id="36" xr3:uid="{047D9B1D-FE90-4B63-9AE0-8EFEF57B927B}" uniqueName="36" name="Wage Type" queryTableFieldId="36"/>
    <tableColumn id="37" xr3:uid="{9C44DE70-E443-43F9-8658-C73B89C77D53}" uniqueName="37" name="Amount" queryTableFieldId="37"/>
    <tableColumn id="38" xr3:uid="{C0F6A289-B329-42B2-8A67-3949F57A4305}" uniqueName="38" name="MoHrs" queryTableFieldId="38"/>
    <tableColumn id="39" xr3:uid="{858D2255-3A05-4E4C-BD92-E7F169BABE43}" uniqueName="39" name="WS rule" queryTableFieldId="39"/>
    <tableColumn id="40" xr3:uid="{02CA6A4D-786A-422B-A992-E6FAAE9505A1}" uniqueName="40" name="Work Schedule Rule" queryTableFieldId="40"/>
    <tableColumn id="41" xr3:uid="{7125412F-CE84-43CA-8BAF-5EC869F03826}" uniqueName="41" name="DailyHrs" queryTableFieldId="41"/>
    <tableColumn id="42" xr3:uid="{7BD43069-C960-4DE0-A674-6681889B685C}" uniqueName="42" name="WkDys" queryTableFieldId="42"/>
    <tableColumn id="43" xr3:uid="{A13DE1EC-5539-45BB-9EFE-22E54A0EA243}" uniqueName="43" name="Chngd on" queryTableFieldId="43" dataDxfId="13"/>
    <tableColumn id="44" xr3:uid="{F35BB966-3E21-443E-9726-C021B04F7246}" uniqueName="44" name="Changed by" queryTableFieldId="44"/>
    <tableColumn id="45" xr3:uid="{C2243FC0-7267-407C-8EF2-F2F089C0B823}" uniqueName="45" name="Prev#per#no#" queryTableFieldId="45"/>
    <tableColumn id="46" xr3:uid="{B3362F34-DF79-43C8-A945-B5A759124AE4}" uniqueName="46" name="Ericsson Email Address" queryTableFieldId="46"/>
    <tableColumn id="47" xr3:uid="{535D21ED-FE5C-4564-BFF2-250B50005387}" uniqueName="47" name="Organizational Unit Name" queryTableFieldId="47"/>
    <tableColumn id="48" xr3:uid="{0FD74F86-E969-4342-A7CE-F05156A76CDB}" uniqueName="48" name="Corporate ID" queryTableFieldId="48"/>
    <tableColumn id="49" xr3:uid="{C0B5FC16-541D-4147-B7AC-7B58491724AA}" uniqueName="49" name="Position" queryTableFieldId="49"/>
    <tableColumn id="50" xr3:uid="{6C554179-EF63-4D24-ADF1-40B4A11A8603}" uniqueName="50" name="Position1" queryTableFieldId="50"/>
    <tableColumn id="51" xr3:uid="{D99BADD7-C1EB-4276-A258-C24BE4A1E177}" uniqueName="51" name="Manager Corporate ID (A012)" queryTableFieldId="51"/>
    <tableColumn id="52" xr3:uid="{EA32462D-DA5B-476E-934E-DF9541AE3663}" uniqueName="52" name="Manager PERNR (via A012)" queryTableFieldId="52"/>
    <tableColumn id="53" xr3:uid="{39F6283D-C0FB-49FF-9BDC-BCD7B8251013}" uniqueName="53" name="Name of Manager (OM)" queryTableFieldId="53"/>
    <tableColumn id="54" xr3:uid="{61C22159-EE9C-40AA-A68F-A301B4471D0B}" uniqueName="54" name="Manager NAME (via A012)" queryTableFieldId="54"/>
    <tableColumn id="55" xr3:uid="{C8949310-7029-4F84-B4C0-55CA8EA169C4}" uniqueName="55" name="Personnel Subarea" queryTableFieldId="55"/>
    <tableColumn id="56" xr3:uid="{8FA67521-B906-442C-9F30-443600379D58}" uniqueName="56" name="Reason for Action" queryTableFieldId="56"/>
    <tableColumn id="57" xr3:uid="{EE610167-402D-44D7-B1AF-7CA7492290BD}" uniqueName="57" name="Reporting Period" queryTableFieldId="5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EAA3FAA-706B-460E-B4DD-AECE9E4EB998}" name="Table_innowin43169_HRGO_REPORTING_Not_in_use_V_Payroll_RMEA_GEO_004" displayName="Table_innowin43169_HRGO_REPORTING_Not_in_use_V_Payroll_RMEA_GEO_004" ref="A1:W2" tableType="queryTable" insertRow="1" totalsRowShown="0">
  <tableColumns count="23">
    <tableColumn id="1" xr3:uid="{63773CEF-D9D2-47EC-BC80-1FADC6808F30}" uniqueName="1" name="Country Text" queryTableFieldId="1"/>
    <tableColumn id="2" xr3:uid="{9B906D0B-7E66-4210-B41F-ED54A3B56CBB}" uniqueName="2" name="Cocd" queryTableFieldId="2"/>
    <tableColumn id="3" xr3:uid="{B5ABF4C3-CCD0-49C6-8D68-6580B5C2BA35}" uniqueName="3" name="Company Code" queryTableFieldId="3"/>
    <tableColumn id="4" xr3:uid="{C670A4B1-4DDD-4371-A18E-A5475412D94F}" uniqueName="4" name="PArea" queryTableFieldId="4"/>
    <tableColumn id="5" xr3:uid="{95CF9BD9-7724-4BFA-9C50-F21F7F26BE16}" uniqueName="5" name="Payroll Area" queryTableFieldId="5"/>
    <tableColumn id="6" xr3:uid="{D4E357B2-4A71-4CAE-8C3C-7FC28CE8FE0F}" uniqueName="6" name="PERSONID_EXT" queryTableFieldId="6"/>
    <tableColumn id="7" xr3:uid="{DF94CBE0-07DA-4664-8E69-5244612B2045}" uniqueName="7" name="Pers No" queryTableFieldId="7"/>
    <tableColumn id="8" xr3:uid="{1FF41C95-0E48-4570-BE31-58BB95DE8F6A}" uniqueName="8" name="Last Name" queryTableFieldId="8"/>
    <tableColumn id="9" xr3:uid="{B0A8AD5F-90A3-4D88-8734-B8EFB6F3E368}" uniqueName="9" name="First name" queryTableFieldId="9"/>
    <tableColumn id="10" xr3:uid="{0CCD5845-FB59-47AC-9E9B-3F6E883E46FF}" uniqueName="10" name="EEGrp" queryTableFieldId="10"/>
    <tableColumn id="11" xr3:uid="{040A365E-A9BD-4AE4-B101-821E0A1D1776}" uniqueName="11" name="Employee Group" queryTableFieldId="11"/>
    <tableColumn id="12" xr3:uid="{0AF89C13-474B-4DFC-B130-6A39B7AD328D}" uniqueName="12" name="ESgrp" queryTableFieldId="12"/>
    <tableColumn id="13" xr3:uid="{CFB9D8A3-FECE-4221-85E3-384AB3CE687F}" uniqueName="13" name="Employee Subgroup" queryTableFieldId="13"/>
    <tableColumn id="14" xr3:uid="{98A64FD5-5AA3-454A-AAB5-999932EA4D5E}" uniqueName="14" name="Origin dt" queryTableFieldId="14"/>
    <tableColumn id="15" xr3:uid="{621F4234-C7D6-4F1C-8FAF-315C94C47958}" uniqueName="15" name="Wage type" queryTableFieldId="15"/>
    <tableColumn id="16" xr3:uid="{513AAE25-49EA-491B-B590-34537BF237F1}" uniqueName="16" name="Wage Type1" queryTableFieldId="16"/>
    <tableColumn id="17" xr3:uid="{F97212BC-C17D-4835-A2F5-5F05D5B147B1}" uniqueName="17" name="Amount" queryTableFieldId="17"/>
    <tableColumn id="18" xr3:uid="{3BDA10B3-6A35-4C81-8FF8-C223569E6CEF}" uniqueName="18" name="Curr" queryTableFieldId="18"/>
    <tableColumn id="19" xr3:uid="{9AF00436-1715-4916-9323-25D5CE231586}" uniqueName="19" name="Assignment number" queryTableFieldId="19"/>
    <tableColumn id="20" xr3:uid="{F6D17FD3-9344-45C4-85F0-2FFE11B6A5F8}" uniqueName="20" name="Changed by" queryTableFieldId="20"/>
    <tableColumn id="21" xr3:uid="{4152505E-E3B7-4389-8F2E-35B6C9437D20}" uniqueName="21" name="Chngd on" queryTableFieldId="21" dataDxfId="12"/>
    <tableColumn id="22" xr3:uid="{FFA68FC5-FA39-49D8-9016-08DBB12CAE6A}" uniqueName="22" name="Prev per no" queryTableFieldId="22"/>
    <tableColumn id="23" xr3:uid="{BFC82759-71D3-4D15-B46B-E254EBCAB4AD}" uniqueName="23" name="Reporting Period" queryTableFieldId="2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E6C5CFF-35CA-4F79-898D-34C4D9A67A24}" name="Table_INNOWIN43169_HRGO_REPORTING_Not_in_use_V_Payroll_RMEA_GEO_0049" displayName="Table_INNOWIN43169_HRGO_REPORTING_Not_in_use_V_Payroll_RMEA_GEO_0049" ref="A1:O2" tableType="queryTable" insertRow="1" totalsRowShown="0">
  <tableColumns count="15">
    <tableColumn id="1" xr3:uid="{91754779-5D65-43FC-9FB1-6F507A68F43D}" uniqueName="1" name="Country Text" queryTableFieldId="1"/>
    <tableColumn id="2" xr3:uid="{3C0BCB3E-F7D0-4469-8177-EB9EC75F4C4F}" uniqueName="2" name="CoCd" queryTableFieldId="2"/>
    <tableColumn id="3" xr3:uid="{EC1E9C22-F3A2-401D-9F22-50C097CD5128}" uniqueName="3" name="Company Code" queryTableFieldId="3"/>
    <tableColumn id="4" xr3:uid="{A6E2DD22-49F7-4A3E-BEC7-7223B3578988}" uniqueName="4" name="PArea" queryTableFieldId="4"/>
    <tableColumn id="5" xr3:uid="{A5F3BEB0-FF40-4474-A114-3E4FA6AE9AC3}" uniqueName="5" name="Payroll Area" queryTableFieldId="5"/>
    <tableColumn id="6" xr3:uid="{55F36A10-38A5-41EC-9483-FBA5FC43BA04}" uniqueName="6" name="PERSONID_EXT" queryTableFieldId="6"/>
    <tableColumn id="7" xr3:uid="{BA272CCC-14D3-4C87-A056-0AD57BE2E1CA}" uniqueName="7" name="Pers No " queryTableFieldId="7"/>
    <tableColumn id="8" xr3:uid="{7E6EF35E-C06D-4A6D-AEC9-3A1E47F14210}" uniqueName="8" name="Last name" queryTableFieldId="8"/>
    <tableColumn id="9" xr3:uid="{1F5E6611-36D9-410D-9367-95CE070CAF70}" uniqueName="9" name="First name" queryTableFieldId="9"/>
    <tableColumn id="10" xr3:uid="{4DADB285-6935-48DB-851E-E51426610862}" uniqueName="10" name="EEGrp" queryTableFieldId="10"/>
    <tableColumn id="11" xr3:uid="{7B0C112C-6665-4CA5-8E76-16AA518EC3A9}" uniqueName="11" name="Employee Group" queryTableFieldId="11"/>
    <tableColumn id="12" xr3:uid="{7B6A81A8-B8BD-4F8D-A477-53D68A36D467}" uniqueName="12" name="ESgrp" queryTableFieldId="12"/>
    <tableColumn id="13" xr3:uid="{A06FE562-1ACA-4EFA-A02F-F308E9412572}" uniqueName="13" name="Employee Subgroup" queryTableFieldId="13"/>
    <tableColumn id="14" xr3:uid="{CC6B7EBE-7917-40EA-81CE-48B6F081532A}" uniqueName="14" name="Chngd on" queryTableFieldId="14" dataDxfId="11"/>
    <tableColumn id="15" xr3:uid="{DFCA1570-00CB-4738-A0E4-22125EC2D128}" uniqueName="15" name="Reporting Period" queryTableFieldId="15" dataDxfId="1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8EF0025-0F89-4638-9430-62A926C92988}" name="Table_INNOWIN43169_HRGO_REPORTING_Not_in_use_V_Payroll_RMEA_GEO_0047" displayName="Table_INNOWIN43169_HRGO_REPORTING_Not_in_use_V_Payroll_RMEA_GEO_0047" ref="A1:X2" tableType="queryTable" insertRow="1" totalsRowShown="0">
  <tableColumns count="24">
    <tableColumn id="1" xr3:uid="{037005AB-8997-4F3A-A645-1436AA79C1C5}" uniqueName="1" name="Country Text" queryTableFieldId="1"/>
    <tableColumn id="2" xr3:uid="{3233B471-B2E6-4609-906E-AD028AA69C15}" uniqueName="2" name="CoCd" queryTableFieldId="2"/>
    <tableColumn id="3" xr3:uid="{9109BB8F-7267-4E72-B0A2-3737311524CE}" uniqueName="3" name="Company Code" queryTableFieldId="3"/>
    <tableColumn id="4" xr3:uid="{B3A6CAA0-70B5-4457-A714-3C2E49803B7D}" uniqueName="4" name="PArea" queryTableFieldId="4"/>
    <tableColumn id="5" xr3:uid="{39FAF624-D05F-43D9-8B64-28E3B3572A69}" uniqueName="5" name="Payroll Area" queryTableFieldId="5"/>
    <tableColumn id="6" xr3:uid="{06E8267F-9BFA-42A2-81B7-E272A8E16213}" uniqueName="6" name="PERSONID_EXT" queryTableFieldId="6"/>
    <tableColumn id="7" xr3:uid="{BA57D99D-BAA3-4003-89F3-E0D0D68859D3}" uniqueName="7" name="Pers No" queryTableFieldId="7"/>
    <tableColumn id="8" xr3:uid="{FAFCD592-160D-4F91-BD78-0B587D566ADF}" uniqueName="8" name="Last Name" queryTableFieldId="8"/>
    <tableColumn id="9" xr3:uid="{EFFE2807-2908-4374-9DA9-70DA4CD41793}" uniqueName="9" name="First Name" queryTableFieldId="9"/>
    <tableColumn id="10" xr3:uid="{35C22E4C-639F-4819-9C0A-F8100E53C587}" uniqueName="10" name="EEGrp" queryTableFieldId="10"/>
    <tableColumn id="11" xr3:uid="{F19D1627-745A-492F-A4CE-B7ABE1E02DA5}" uniqueName="11" name="Employee Group" queryTableFieldId="11"/>
    <tableColumn id="12" xr3:uid="{5A37E2F1-2532-460A-B70A-7EBE6D3DC0A1}" uniqueName="12" name="ESgrp" queryTableFieldId="12"/>
    <tableColumn id="13" xr3:uid="{DA7FA29B-0028-487A-AB9E-96425763D64D}" uniqueName="13" name="Employee Subgroup" queryTableFieldId="13"/>
    <tableColumn id="14" xr3:uid="{918E36E7-4CD0-481C-AB83-34A36AF30D3F}" uniqueName="14" name="Start Date" queryTableFieldId="14"/>
    <tableColumn id="15" xr3:uid="{6D9FDD45-E762-4DE6-8DF6-E84D44B08558}" uniqueName="15" name="Reason for Changing Master Dat" queryTableFieldId="15"/>
    <tableColumn id="16" xr3:uid="{E112623A-689A-49ED-BD07-CFBBC38AD52A}" uniqueName="16" name="UtilLvl" queryTableFieldId="16"/>
    <tableColumn id="17" xr3:uid="{B1B2CDEE-B0DE-4034-AEAF-85C2E7426A6F}" uniqueName="17" name="Wage Type" queryTableFieldId="17"/>
    <tableColumn id="18" xr3:uid="{7AD6C336-6B3F-456E-8FC5-C66825019AB3}" uniqueName="18" name="Amount" queryTableFieldId="18"/>
    <tableColumn id="19" xr3:uid="{DC484031-49D2-495D-8A68-AA4A9D59D323}" uniqueName="19" name="Curr" queryTableFieldId="19"/>
    <tableColumn id="20" xr3:uid="{28A8A028-B2EB-4896-B9D8-53D294FD4EA0}" uniqueName="20" name="Number" queryTableFieldId="20"/>
    <tableColumn id="21" xr3:uid="{0A980B1E-F176-4EBF-B9A5-7AB31E09A47D}" uniqueName="21" name="Changed by" queryTableFieldId="21"/>
    <tableColumn id="22" xr3:uid="{337C537B-A4A3-41FC-BFA0-38C9FC9635BC}" uniqueName="22" name="Chngd on" queryTableFieldId="22" dataDxfId="9"/>
    <tableColumn id="23" xr3:uid="{6CC35B62-2A07-422D-86E9-5C6B45B5D932}" uniqueName="23" name="Prev per no" queryTableFieldId="23"/>
    <tableColumn id="24" xr3:uid="{19420A66-0884-4FA8-B4D7-12B6A208D606}" uniqueName="24" name="Reporting Period" queryTableFieldId="2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5DC1F03-4267-4D5D-8CC5-AA87926EF612}" name="Table_INNOWIN43169_HRGO_REPORTING_Not_in_use_V_Payroll_RMEA_GEO_00410" displayName="Table_INNOWIN43169_HRGO_REPORTING_Not_in_use_V_Payroll_RMEA_GEO_00410" ref="A1:AW2" tableType="queryTable" insertRow="1" totalsRowShown="0">
  <tableColumns count="49">
    <tableColumn id="1" xr3:uid="{BF2C75D3-1744-42D9-8EB0-8AA7641AA909}" uniqueName="1" name="Country Text" queryTableFieldId="1"/>
    <tableColumn id="2" xr3:uid="{780684C6-51D8-4B6A-901F-922CAF9AFDD1}" uniqueName="2" name="CoCd" queryTableFieldId="2"/>
    <tableColumn id="3" xr3:uid="{052AD23D-2DB9-4E41-B3DE-CA5D6EF57B13}" uniqueName="3" name="Company Code" queryTableFieldId="3"/>
    <tableColumn id="4" xr3:uid="{664D558C-492A-4AB3-8FF8-2001303698BF}" uniqueName="4" name="PArea" queryTableFieldId="4"/>
    <tableColumn id="5" xr3:uid="{087A5E81-4C93-4DA9-B666-A04B34A7FFB2}" uniqueName="5" name="Payroll Area" queryTableFieldId="5"/>
    <tableColumn id="6" xr3:uid="{C1E9F9B3-6C2C-4A21-9E36-0A9464E6ADE2}" uniqueName="6" name="PERSONID_EXT" queryTableFieldId="6"/>
    <tableColumn id="7" xr3:uid="{14130F46-69AF-46EE-9217-370478A697AC}" uniqueName="7" name="Pers No" queryTableFieldId="7"/>
    <tableColumn id="8" xr3:uid="{3A44D1BF-9AB7-46B1-ADCB-807D6906A1C8}" uniqueName="8" name="Last name" queryTableFieldId="8"/>
    <tableColumn id="9" xr3:uid="{CF3946E7-D244-4600-9A2B-67C859909E05}" uniqueName="9" name="First name" queryTableFieldId="9"/>
    <tableColumn id="10" xr3:uid="{288AE62F-9481-44E0-9EDF-A9079C54154A}" uniqueName="10" name="EEGrp" queryTableFieldId="10"/>
    <tableColumn id="11" xr3:uid="{9D6C8C92-7244-474A-8DD0-EEA8C83107A4}" uniqueName="11" name="Employee Group" queryTableFieldId="11"/>
    <tableColumn id="12" xr3:uid="{1C1714C5-B4B8-4C82-A252-799C85FEA4AF}" uniqueName="12" name="ESgrp" queryTableFieldId="12"/>
    <tableColumn id="13" xr3:uid="{FF32F590-1FDA-4F29-9A4F-5C0EADD5940A}" uniqueName="13" name="Employee Subgroup" queryTableFieldId="13"/>
    <tableColumn id="14" xr3:uid="{33D2A0CF-C3E6-4D4E-88EC-967911CFF6E1}" uniqueName="14" name="Infotype" queryTableFieldId="14"/>
    <tableColumn id="15" xr3:uid="{278C6BF9-CC54-48F5-9823-38E86BA8153E}" uniqueName="15" name="Subtype" queryTableFieldId="15"/>
    <tableColumn id="16" xr3:uid="{E3C35CE3-6EE5-46F0-889B-5AF74C22736F}" uniqueName="16" name="IBAN Number" queryTableFieldId="16"/>
    <tableColumn id="17" xr3:uid="{1947E71E-BE78-4F0B-AC2F-022B5FB5BC65}" uniqueName="17" name="End date" queryTableFieldId="17"/>
    <tableColumn id="18" xr3:uid="{BFF567D3-A019-4DB5-BB75-F44249CF7F65}" uniqueName="18" name="Start date" queryTableFieldId="18"/>
    <tableColumn id="19" xr3:uid="{A5459E9E-059C-4C9F-83CC-A9C939B869D5}" uniqueName="19" name="Chngd on" queryTableFieldId="19" dataDxfId="8"/>
    <tableColumn id="20" xr3:uid="{0B4CCD42-A874-45BA-AF2E-2B64D6452177}" uniqueName="20" name="Changed by" queryTableFieldId="20"/>
    <tableColumn id="21" xr3:uid="{C6AD3D28-9FFA-4DF0-B126-EDB765C0DFE3}" uniqueName="21" name="Reference Fields Exist Primary" queryTableFieldId="21"/>
    <tableColumn id="22" xr3:uid="{9E3EB648-C45F-4BF4-80A7-C5E4A9B967E3}" uniqueName="22" name="Payment Currency" queryTableFieldId="22"/>
    <tableColumn id="23" xr3:uid="{0A9491D6-7D9C-4347-A310-9E3D65CA5E03}" uniqueName="23" name="Type of Bank Details Record" queryTableFieldId="23"/>
    <tableColumn id="24" xr3:uid="{141047ED-C024-4EAF-B78A-2ED79ED0686B}" uniqueName="24" name="Payment Method" queryTableFieldId="24"/>
    <tableColumn id="25" xr3:uid="{56B10CF8-B176-4625-8E06-7AFF60AD0C1C}" uniqueName="25" name="Payee" queryTableFieldId="25"/>
    <tableColumn id="26" xr3:uid="{94C40FA8-12AC-4664-B3CA-1425AB12626D}" uniqueName="26" name="Postal code" queryTableFieldId="26"/>
    <tableColumn id="27" xr3:uid="{274635EA-0A0F-4DD9-86A8-9D071B0C4654}" uniqueName="27" name="City" queryTableFieldId="27"/>
    <tableColumn id="28" xr3:uid="{FE9145D3-8A4E-4D01-9CAB-6F9171295013}" uniqueName="28" name="Bank country key" queryTableFieldId="28"/>
    <tableColumn id="29" xr3:uid="{2202DF46-63C3-4AE1-A32E-26F5B30C46B4}" uniqueName="29" name="Bank key" queryTableFieldId="29"/>
    <tableColumn id="30" xr3:uid="{74469B36-E3FB-4B71-83D7-CE83B19FA0C5}" uniqueName="30" name="Bank key Text" queryTableFieldId="30"/>
    <tableColumn id="31" xr3:uid="{C2C42F3B-C4DB-4E9C-8558-C815E7612B33}" uniqueName="31" name="Bank account" queryTableFieldId="31"/>
    <tableColumn id="32" xr3:uid="{C35AA03F-DE89-4574-9585-8BC3CFF76FBB}" uniqueName="32" name="CD" queryTableFieldId="32"/>
    <tableColumn id="33" xr3:uid="{06044368-4188-4857-8C23-4D872AE0397B}" uniqueName="33" name="CK" queryTableFieldId="33"/>
    <tableColumn id="34" xr3:uid="{2DAE1050-B0AD-4507-B0BC-E28F96C9B1F2}" uniqueName="34" name="SWIFT code" queryTableFieldId="34"/>
    <tableColumn id="35" xr3:uid="{4D6E4FC0-C1A6-40EB-A9D1-9FB6A6E9E25A}" uniqueName="35" name="Post bank no" queryTableFieldId="35"/>
    <tableColumn id="36" xr3:uid="{C435FFC0-B601-4AB2-9F04-5F353C6DC890}" uniqueName="36" name="PayeeKey" queryTableFieldId="36"/>
    <tableColumn id="37" xr3:uid="{DF6285B7-1550-4CB2-ADB6-63CB3BDF4576}" uniqueName="37" name="Purpose" queryTableFieldId="37"/>
    <tableColumn id="38" xr3:uid="{C299508C-522F-4EC1-A8E8-BFCBB67ED2B5}" uniqueName="38" name="Transfer Type" queryTableFieldId="38"/>
    <tableColumn id="39" xr3:uid="{7FDD5D4B-3B21-4335-AF79-1D921AD1ED72}" uniqueName="39" name="Reference details" queryTableFieldId="39"/>
    <tableColumn id="40" xr3:uid="{7F1B13BE-E01C-4488-8F7F-A6E86261EB93}" uniqueName="40" name="House number and street" queryTableFieldId="40"/>
    <tableColumn id="41" xr3:uid="{92DA37CA-1EF9-4F33-9B1D-68DB5BAA24C7}" uniqueName="41" name="Region State Province Count" queryTableFieldId="41"/>
    <tableColumn id="42" xr3:uid="{2A58FF8E-C418-4493-8818-3FB095E0EDE3}" uniqueName="42" name="Bank information Bank name c" queryTableFieldId="42"/>
    <tableColumn id="43" xr3:uid="{D3DF0A3D-428E-4A89-9A7C-04222542888C}" uniqueName="43" name="Name of employee or applicant" queryTableFieldId="43"/>
    <tableColumn id="44" xr3:uid="{3B579F72-40F0-46A4-A33C-E458602177B7}" uniqueName="44" name="Last name First name" queryTableFieldId="44"/>
    <tableColumn id="45" xr3:uid="{3666BE8E-3334-4CBA-A66E-17ACB08D7E51}" uniqueName="45" name="RNo" queryTableFieldId="45"/>
    <tableColumn id="46" xr3:uid="{32CE51C3-8CAC-4565-B1C4-1A24FE3D3662}" uniqueName="46" name="Std value" queryTableFieldId="46"/>
    <tableColumn id="47" xr3:uid="{ACB7EB29-9236-4415-9D87-AF47E8D8F1AE}" uniqueName="47" name="Crcy" queryTableFieldId="47"/>
    <tableColumn id="48" xr3:uid="{9D66A403-DFB3-4D00-8240-CCBD8B531E7D}" uniqueName="48" name="Standard Pct" queryTableFieldId="48"/>
    <tableColumn id="49" xr3:uid="{814E26A9-6071-45F6-ABFB-AC6C8685E08A}" uniqueName="49" name="Reporting Period" queryTableFieldId="4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D4D7ECB-9EB3-4680-986D-CF58C748F642}" name="Table_INNOWIN43169_HRGO_REPORTING_Not_in_use_V_Payroll_RMEA_GEO_00411" displayName="Table_INNOWIN43169_HRGO_REPORTING_Not_in_use_V_Payroll_RMEA_GEO_00411" ref="A1:BG2" tableType="queryTable" insertRow="1" totalsRowShown="0">
  <tableColumns count="59">
    <tableColumn id="1" xr3:uid="{23F21280-19E2-425A-8AC8-5C399CCA324D}" uniqueName="1" name="Country Text" queryTableFieldId="1"/>
    <tableColumn id="2" xr3:uid="{2B6FF2F7-083E-4193-9CB5-55408197B44F}" uniqueName="2" name="CoCd" queryTableFieldId="2"/>
    <tableColumn id="3" xr3:uid="{3B33D4E8-6C2B-46E3-8499-E3FC237D4CC2}" uniqueName="3" name="Company Code" queryTableFieldId="3"/>
    <tableColumn id="4" xr3:uid="{11578BF7-37D0-46C1-832A-B6B70D3F76D0}" uniqueName="4" name="PArea" queryTableFieldId="4"/>
    <tableColumn id="5" xr3:uid="{3BC658B0-351C-4EEC-A517-714C7BBD397E}" uniqueName="5" name="Payroll Area" queryTableFieldId="5"/>
    <tableColumn id="6" xr3:uid="{E744FFFA-943E-4C07-98F0-F5C5FDC9AF8F}" uniqueName="6" name="PERSONID_EXT" queryTableFieldId="6"/>
    <tableColumn id="7" xr3:uid="{5D504CF6-74C5-4EA5-8F60-19425B2DF981}" uniqueName="7" name="Pers No " queryTableFieldId="7"/>
    <tableColumn id="8" xr3:uid="{32981C6C-173D-472B-B5E9-417F62ABDEFA}" uniqueName="8" name="Last name" queryTableFieldId="8"/>
    <tableColumn id="9" xr3:uid="{3990C50B-CE65-49BA-A609-A1A792035864}" uniqueName="9" name="First name" queryTableFieldId="9"/>
    <tableColumn id="10" xr3:uid="{E434F662-20B9-4A78-BBD1-CAF652D353ED}" uniqueName="10" name="Employee Group" queryTableFieldId="10"/>
    <tableColumn id="11" xr3:uid="{04B9827D-5CC7-4589-8166-6E2608C3FE08}" uniqueName="11" name="Date of Birth for Achievers" queryTableFieldId="11"/>
    <tableColumn id="12" xr3:uid="{DAC47720-403D-4BBA-8F3B-D676D9C84445}" uniqueName="12" name="Infotype" queryTableFieldId="12"/>
    <tableColumn id="13" xr3:uid="{87C1997F-5D32-48F9-A6FA-273E1D9600C7}" uniqueName="13" name="End date" queryTableFieldId="13"/>
    <tableColumn id="14" xr3:uid="{56E77C46-A58A-448B-B92A-41225812592C}" uniqueName="14" name="Start date" queryTableFieldId="14"/>
    <tableColumn id="15" xr3:uid="{1719ED6F-3221-410A-8FFA-D13C938F1333}" uniqueName="15" name="RNo" queryTableFieldId="15"/>
    <tableColumn id="16" xr3:uid="{CBEB9248-5C1E-4345-B417-7DF305FB2ED0}" uniqueName="16" name="Chngd on" queryTableFieldId="16" dataDxfId="7"/>
    <tableColumn id="17" xr3:uid="{19626FF4-F507-47DB-82C6-910348E4A1A2}" uniqueName="17" name="Changed by" queryTableFieldId="17"/>
    <tableColumn id="18" xr3:uid="{13E8880F-18FF-4BBE-B0A5-8A781134ECBE}" uniqueName="18" name="Initials" queryTableFieldId="18"/>
    <tableColumn id="19" xr3:uid="{74BC8F12-8528-432C-9153-6D943A26815C}" uniqueName="19" name="Name at birth" queryTableFieldId="19"/>
    <tableColumn id="20" xr3:uid="{5738E1D3-151A-4E66-B7CF-391BF89EE26A}" uniqueName="20" name="Second name" queryTableFieldId="20"/>
    <tableColumn id="21" xr3:uid="{E7BB5411-99B7-4559-BC0C-675944E467B0}" uniqueName="21" name="Complete name" queryTableFieldId="21"/>
    <tableColumn id="22" xr3:uid="{A17E0C45-F5AD-4F02-9FEB-098E6801ADFF}" uniqueName="22" name="Second title" queryTableFieldId="22"/>
    <tableColumn id="23" xr3:uid="{9C8D0A67-5FAA-43FA-AE13-4A8E2F169F03}" uniqueName="23" name="Other title" queryTableFieldId="23"/>
    <tableColumn id="24" xr3:uid="{C1576313-538F-44C5-AA8F-8F7DD1F05BAA}" uniqueName="24" name="Title" queryTableFieldId="24"/>
    <tableColumn id="25" xr3:uid="{E730C4A7-610B-4001-BE76-54645DD19E2B}" uniqueName="25" name="Name prefix" queryTableFieldId="25"/>
    <tableColumn id="26" xr3:uid="{F6E78D43-A6C6-4886-8E24-DF79E62A0039}" uniqueName="26" name="Name prefix 2" queryTableFieldId="26"/>
    <tableColumn id="27" xr3:uid="{9A293262-5D7B-4277-8D6D-88DC43BA9DB9}" uniqueName="27" name="Known as" queryTableFieldId="27"/>
    <tableColumn id="28" xr3:uid="{97AAFBCB-93BF-46AD-BCE3-15E314EDF148}" uniqueName="28" name="Middle name" queryTableFieldId="28"/>
    <tableColumn id="29" xr3:uid="{CC749A14-B248-48C7-AF95-78BEF51E3EFA}" uniqueName="29" name="NI" queryTableFieldId="29"/>
    <tableColumn id="30" xr3:uid="{0FD75C63-5BA3-4E40-A08A-EBD62AE0F426}" uniqueName="30" name="Form-of-Address Key" queryTableFieldId="30"/>
    <tableColumn id="31" xr3:uid="{71E54B7A-8505-4CE2-85DF-FE0089EA1B77}" uniqueName="31" name="Gender Key" queryTableFieldId="31"/>
    <tableColumn id="32" xr3:uid="{AE28F3A7-7CFE-4A62-A35C-7E0219774D06}" uniqueName="32" name="Birth date" queryTableFieldId="32"/>
    <tableColumn id="33" xr3:uid="{4FB145CE-5EED-414D-BC4C-BB55DCE516BD}" uniqueName="33" name="Country of Birth" queryTableFieldId="33"/>
    <tableColumn id="34" xr3:uid="{861C4D0D-3D9D-4BC7-9045-1B99CB0B4B51}" uniqueName="34" name="State" queryTableFieldId="34"/>
    <tableColumn id="35" xr3:uid="{B4F27EE3-53AA-4041-B4FF-B705E96139CA}" uniqueName="35" name="Birthplace" queryTableFieldId="35"/>
    <tableColumn id="36" xr3:uid="{537DD22F-DB30-4598-A156-F4811398FEF1}" uniqueName="36" name="Nationality" queryTableFieldId="36"/>
    <tableColumn id="37" xr3:uid="{2C0C6BF2-6508-45CD-817E-56C257D6CE99}" uniqueName="37" name="Third Nationality" queryTableFieldId="37"/>
    <tableColumn id="38" xr3:uid="{AC7F81CC-C7DD-4CC1-9F7D-7A6F8FC1B928}" uniqueName="38" name="Second Nationality" queryTableFieldId="38"/>
    <tableColumn id="39" xr3:uid="{C64A12B9-B24B-4034-AB48-9C7E93605B9D}" uniqueName="39" name="Language of communication" queryTableFieldId="39"/>
    <tableColumn id="40" xr3:uid="{1E6AFDD5-473C-47C1-B074-4101FC04B7B3}" uniqueName="40" name="Religious Denomination Key" queryTableFieldId="40"/>
    <tableColumn id="41" xr3:uid="{59ABB288-E2C3-4077-B1D6-057A9BA304A0}" uniqueName="41" name="Marital Status Key" queryTableFieldId="41"/>
    <tableColumn id="42" xr3:uid="{F85F69EE-F808-41E4-80AB-73726401DB2A}" uniqueName="42" name="MS since" queryTableFieldId="42"/>
    <tableColumn id="43" xr3:uid="{26A55BFE-D9EB-4EE8-B135-5DC06BC94DF4}" uniqueName="43" name="No ch" queryTableFieldId="43"/>
    <tableColumn id="44" xr3:uid="{0A6713BE-3A5F-4615-BC4B-94041F4349A8}" uniqueName="44" name="NC" queryTableFieldId="44"/>
    <tableColumn id="45" xr3:uid="{42AAF187-1DBD-44C6-ABEE-E5FFB4FCAA61}" uniqueName="45" name="PM" queryTableFieldId="45"/>
    <tableColumn id="46" xr3:uid="{0C0660EC-1C4B-46E6-A428-0DA0DFA06C2A}" uniqueName="46" name="ID number" queryTableFieldId="46"/>
    <tableColumn id="47" xr3:uid="{DD8099BA-EF8D-49D0-AF4D-93A1C8DF0A5D}" uniqueName="47" name="Birth date1" queryTableFieldId="47"/>
    <tableColumn id="48" xr3:uid="{900F03C6-EB37-4610-965F-41F10F0041BA}" uniqueName="48" name="Name of Birth (Katakana)" queryTableFieldId="48"/>
    <tableColumn id="49" xr3:uid="{E4B06D2C-706B-4E04-9AD1-FAB7E57E9E7A}" uniqueName="49" name="Name of Birth (Romaji)" queryTableFieldId="49"/>
    <tableColumn id="50" xr3:uid="{18468840-1E4B-4994-B390-97984D0F2E02}" uniqueName="50" name="Koseki   (Katakana)" queryTableFieldId="50"/>
    <tableColumn id="51" xr3:uid="{DD44C30B-20B0-4D56-83C1-AEA3EBB0F961}" uniqueName="51" name="Koseki   (Romaji)" queryTableFieldId="51"/>
    <tableColumn id="52" xr3:uid="{CA6A2B39-3FF3-4247-B01B-494AD49672B6}" uniqueName="52" name="Year" queryTableFieldId="52"/>
    <tableColumn id="53" xr3:uid="{75BAE649-31AC-419F-A4C4-BEC168AEB78C}" uniqueName="53" name="Mon" queryTableFieldId="53"/>
    <tableColumn id="54" xr3:uid="{E6011C49-A437-4855-8FC8-8B52DD1C66A4}" uniqueName="54" name="Date" queryTableFieldId="54"/>
    <tableColumn id="55" xr3:uid="{09F3F6B1-EF9B-4A75-B229-D67A7DD61CC4}" uniqueName="55" name="Name Affix for Name at Birth" queryTableFieldId="55"/>
    <tableColumn id="56" xr3:uid="{1E71DB1D-A88A-4BAE-A151-16BA7B5EB902}" uniqueName="56" name="DoB" queryTableFieldId="56"/>
    <tableColumn id="57" xr3:uid="{05F5A14F-DB31-4D77-9435-019872380090}" uniqueName="57" name="Age of employee" queryTableFieldId="57"/>
    <tableColumn id="58" xr3:uid="{2C0D9748-12BF-4A30-80E5-C4E64F522CD5}" uniqueName="58" name="Age" queryTableFieldId="58"/>
    <tableColumn id="59" xr3:uid="{8E8F2858-4C66-4C33-A7FC-6E7FD7B02275}" uniqueName="59" name="Reporting Period" queryTableFieldId="5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283C802-1FA3-4479-A335-7E8EF63DA65F}" name="Table_INNOWIN43169_HRGO_REPORTING_Not_in_use_V_Payroll_RMEA_GEO_00412" displayName="Table_INNOWIN43169_HRGO_REPORTING_Not_in_use_V_Payroll_RMEA_GEO_00412" ref="A1:P2" tableType="queryTable" insertRow="1" totalsRowShown="0">
  <tableColumns count="16">
    <tableColumn id="1" xr3:uid="{60A9FF99-9769-45A2-8A5B-EE34665ECA17}" uniqueName="1" name="Country Text" queryTableFieldId="1"/>
    <tableColumn id="2" xr3:uid="{5FEABF15-1C02-40D3-9C66-514365EC839B}" uniqueName="2" name="CoCd" queryTableFieldId="2"/>
    <tableColumn id="3" xr3:uid="{DFEBD2B0-9679-4F76-AA0F-21418250AF5A}" uniqueName="3" name="Company Code" queryTableFieldId="3"/>
    <tableColumn id="4" xr3:uid="{791ABC59-9820-46B9-AAB6-E9C9DA9183CA}" uniqueName="4" name="PArea" queryTableFieldId="4"/>
    <tableColumn id="5" xr3:uid="{2304D834-594C-4CD5-B0FE-4E0806B04D76}" uniqueName="5" name="Payroll Area" queryTableFieldId="5"/>
    <tableColumn id="6" xr3:uid="{22D0EF6D-FEC8-4A0F-8695-88A0BFB50410}" uniqueName="6" name="PERSONID_EXT" queryTableFieldId="6"/>
    <tableColumn id="7" xr3:uid="{86DBD014-9F88-49A1-8DFC-7E82EB1E4A3C}" uniqueName="7" name="Pers No " queryTableFieldId="7"/>
    <tableColumn id="8" xr3:uid="{38257D3B-88B2-4DF2-8E1C-D4105BE2DBDC}" uniqueName="8" name="Last name" queryTableFieldId="8"/>
    <tableColumn id="9" xr3:uid="{3E495B00-446F-4F77-BD06-C0AAC66791BC}" uniqueName="9" name="First name" queryTableFieldId="9"/>
    <tableColumn id="10" xr3:uid="{1B09F9A7-95E5-4166-AEC2-847F1CF21ED0}" uniqueName="10" name="Employee Group" queryTableFieldId="10"/>
    <tableColumn id="11" xr3:uid="{4E1C5513-4E11-44E5-9D3B-20BB94DBD4B2}" uniqueName="11" name="Start date" queryTableFieldId="11"/>
    <tableColumn id="12" xr3:uid="{BB2E283D-3F6A-49F0-80F9-80DD504E8C3E}" uniqueName="12" name="Reason for Action" queryTableFieldId="12"/>
    <tableColumn id="13" xr3:uid="{7A19F193-34BC-418B-829D-2581AB0F029E}" uniqueName="13" name="Changed by" queryTableFieldId="13"/>
    <tableColumn id="14" xr3:uid="{0DE5A722-B1A7-4E44-B5B1-5689A0F07658}" uniqueName="14" name="Chngd on" queryTableFieldId="14" dataDxfId="6"/>
    <tableColumn id="15" xr3:uid="{FA6E73B1-87B0-4AFA-8A50-FE46ED23AB86}" uniqueName="15" name="Prev per no " queryTableFieldId="15"/>
    <tableColumn id="16" xr3:uid="{AD1BB9D9-CBE6-442D-8E5C-C2FBE9A668E8}" uniqueName="16" name="Reporting Period" queryTableFieldId="1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60D2809-65E8-4FE1-960A-3B5E5C1C8DF0}" name="Table_INNOWIN43169_HRGO_REPORTING_Not_in_use_V_Payroll_RMEA_GEO_00413" displayName="Table_INNOWIN43169_HRGO_REPORTING_Not_in_use_V_Payroll_RMEA_GEO_00413" ref="A1:P2" tableType="queryTable" insertRow="1" totalsRowShown="0">
  <tableColumns count="16">
    <tableColumn id="1" xr3:uid="{743B983A-65CD-4E12-9AC9-D21B6CCFBD49}" uniqueName="1" name="Country Text" queryTableFieldId="1"/>
    <tableColumn id="2" xr3:uid="{17E05B2E-8DA3-4716-BC4A-040B4846411D}" uniqueName="2" name="CoCd" queryTableFieldId="2"/>
    <tableColumn id="3" xr3:uid="{A2188744-E020-4223-8D4E-3737D845FAE4}" uniqueName="3" name="Company Code" queryTableFieldId="3"/>
    <tableColumn id="4" xr3:uid="{D99372D5-50FF-429A-A933-43115516BB97}" uniqueName="4" name="PArea" queryTableFieldId="4"/>
    <tableColumn id="5" xr3:uid="{9719342F-1195-408A-A691-3EAAAC92AD5A}" uniqueName="5" name="Payroll Area" queryTableFieldId="5"/>
    <tableColumn id="6" xr3:uid="{358EE543-19F7-48B3-A4C1-EF6B18CCB05B}" uniqueName="6" name="PERSONID_EXT" queryTableFieldId="6"/>
    <tableColumn id="7" xr3:uid="{DFBFA027-5435-4427-A3BF-B76F27423BE0}" uniqueName="7" name="Pers No" queryTableFieldId="7"/>
    <tableColumn id="8" xr3:uid="{DD0988C1-46F3-4C77-A458-7C25D754E71B}" uniqueName="8" name="Last name" queryTableFieldId="8"/>
    <tableColumn id="9" xr3:uid="{AD70A1AF-C308-42E8-8DBA-2E5661A837E9}" uniqueName="9" name="First name" queryTableFieldId="9"/>
    <tableColumn id="10" xr3:uid="{F418F9A8-9648-4DF9-8C86-E3F264A1C6C5}" uniqueName="10" name="EEGrp" queryTableFieldId="10"/>
    <tableColumn id="11" xr3:uid="{FEC943D9-B33E-4C9B-B013-B461D34A806B}" uniqueName="11" name="Employee Group" queryTableFieldId="11"/>
    <tableColumn id="12" xr3:uid="{E7FB0C86-BBCF-4F10-92B8-9795B858B20B}" uniqueName="12" name="Start date" queryTableFieldId="12"/>
    <tableColumn id="13" xr3:uid="{A6A04D64-94DA-48E2-A4E3-BDF559E08ABE}" uniqueName="13" name="Personnel Subarea" queryTableFieldId="13"/>
    <tableColumn id="14" xr3:uid="{4C67412E-8D71-4971-8932-1143D9D2BC45}" uniqueName="14" name="Buildings" queryTableFieldId="14"/>
    <tableColumn id="15" xr3:uid="{734090E6-0A6B-4BE3-8223-4CEE79EB06D4}" uniqueName="15" name="Chngd on" queryTableFieldId="15" dataDxfId="5"/>
    <tableColumn id="16" xr3:uid="{B5167A06-7EA3-42D4-8AE0-ABE8840C1F6A}" uniqueName="16" name="Reporting Period" queryTableFieldId="16" dataDxfId="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AA8CEDA-C1DC-42DF-9288-8D60F458D98D}" name="Table_INNOWIN43169_HRGO_REPORTING_Not_in_use_V_Payroll_RMEA_GEO_00414" displayName="Table_INNOWIN43169_HRGO_REPORTING_Not_in_use_V_Payroll_RMEA_GEO_00414" ref="A1:V2" tableType="queryTable" insertRow="1" totalsRowShown="0">
  <tableColumns count="22">
    <tableColumn id="1" xr3:uid="{F3BB508F-7A19-40B5-AA46-1C856EE892A9}" uniqueName="1" name="Country Text" queryTableFieldId="1"/>
    <tableColumn id="2" xr3:uid="{7AFBF1A0-9C79-402B-96BC-356461337C4C}" uniqueName="2" name="CoCd" queryTableFieldId="2"/>
    <tableColumn id="3" xr3:uid="{84F2D325-C797-42EE-BA6F-ADD8DD7AE714}" uniqueName="3" name="Company Code" queryTableFieldId="3"/>
    <tableColumn id="4" xr3:uid="{446BD1E8-06B6-4CA3-9800-9804AFC8C411}" uniqueName="4" name="PArea" queryTableFieldId="4"/>
    <tableColumn id="5" xr3:uid="{65495AEC-11BC-4C69-9CDB-D135ADACBF3F}" uniqueName="5" name="Payroll Area" queryTableFieldId="5"/>
    <tableColumn id="6" xr3:uid="{00B5F831-8134-4443-9453-A19B7A46E29A}" uniqueName="6" name="PERSONID_EXT" queryTableFieldId="6"/>
    <tableColumn id="7" xr3:uid="{E8B3C572-42BF-45C2-9B7B-8E16A262B409}" uniqueName="7" name="Pers no" queryTableFieldId="7"/>
    <tableColumn id="8" xr3:uid="{0010C501-4E8A-41D2-8C96-03B432134CA1}" uniqueName="8" name="Last name" queryTableFieldId="8"/>
    <tableColumn id="9" xr3:uid="{42B3FD77-AD79-4E0A-B126-64E910945D3D}" uniqueName="9" name="First name" queryTableFieldId="9"/>
    <tableColumn id="10" xr3:uid="{A60E201B-8264-4A8F-B1E6-F23CBA954F8C}" uniqueName="10" name="EEGrp" queryTableFieldId="10"/>
    <tableColumn id="11" xr3:uid="{2ABA425E-1122-486B-B40D-484D6D86B1BF}" uniqueName="11" name="Employee Group" queryTableFieldId="11"/>
    <tableColumn id="12" xr3:uid="{10C5F435-873A-4517-B311-5F00D7011996}" uniqueName="12" name="ESgrp" queryTableFieldId="12"/>
    <tableColumn id="13" xr3:uid="{81BDBBE9-70FB-4DEC-B654-2EC8B815DC2B}" uniqueName="13" name="Employee Subgroup" queryTableFieldId="13"/>
    <tableColumn id="14" xr3:uid="{8E3CF92B-D9EB-4167-A12D-4DAE3C0A2366}" uniqueName="14" name="Start date" queryTableFieldId="14"/>
    <tableColumn id="15" xr3:uid="{3BDC505C-FC72-460E-A79D-7BC2828392A2}" uniqueName="15" name="WS rule" queryTableFieldId="15"/>
    <tableColumn id="16" xr3:uid="{2E4115A3-D36A-490F-A8B7-8ADE6E6E3FBF}" uniqueName="16" name="Work Schedule Rule" queryTableFieldId="16"/>
    <tableColumn id="17" xr3:uid="{88C2A4DB-48B2-4A3E-B3B8-5853FE7BE795}" uniqueName="17" name="Checkbox for Part-Time Employee" queryTableFieldId="17"/>
    <tableColumn id="18" xr3:uid="{A4539291-3F15-4DC1-9DF5-FA33F38E4047}" uniqueName="18" name="UtilLvl" queryTableFieldId="18"/>
    <tableColumn id="19" xr3:uid="{061F0676-11A3-462A-A232-EA2D1EECE298}" uniqueName="19" name="Changed by" queryTableFieldId="19"/>
    <tableColumn id="20" xr3:uid="{E1F91A77-B580-470E-BEE2-C677DE4271F0}" uniqueName="20" name="Chngd on" queryTableFieldId="20" dataDxfId="3"/>
    <tableColumn id="21" xr3:uid="{C0D2398E-5AC0-41F9-9773-CF1DFCC6DF38}" uniqueName="21" name="Prev per no" queryTableFieldId="21"/>
    <tableColumn id="22" xr3:uid="{D81CC17A-7942-44E7-9E7B-300B8F9A21CA}" uniqueName="22" name="Reporting Period" queryTableFieldId="2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4C79F62-715B-4CCB-9D61-7AB10A0E358B}" name="Table_INNOWIN43169_HRGO_REPORTING_Not_in_use_V_Payroll_RMEA_GEO_00415" displayName="Table_INNOWIN43169_HRGO_REPORTING_Not_in_use_V_Payroll_RMEA_GEO_00415" ref="A1:AY2" tableType="queryTable" insertRow="1" totalsRowShown="0">
  <tableColumns count="51">
    <tableColumn id="1" xr3:uid="{6E1FB43B-2CF6-4AE2-8728-63C8BF9ED5DC}" uniqueName="1" name="Country Text" queryTableFieldId="1"/>
    <tableColumn id="2" xr3:uid="{61E8A348-B7B9-4E5B-9D56-35D22A95A3C9}" uniqueName="2" name="CoCd" queryTableFieldId="2"/>
    <tableColumn id="3" xr3:uid="{79C3A3B4-675A-4B69-A5D5-86D35BF16D3E}" uniqueName="3" name="Company Code" queryTableFieldId="3"/>
    <tableColumn id="4" xr3:uid="{2C0A6EAB-8655-4F8B-BAA0-ADCCEB0ADA94}" uniqueName="4" name="PArea" queryTableFieldId="4"/>
    <tableColumn id="5" xr3:uid="{42DE4DF8-9991-4576-8EEC-4A60B7F2CB07}" uniqueName="5" name="Payroll Area" queryTableFieldId="5"/>
    <tableColumn id="6" xr3:uid="{50A5E56C-00B2-42DB-AC2A-0552AF433714}" uniqueName="6" name="PERSONID_EXT" queryTableFieldId="6"/>
    <tableColumn id="7" xr3:uid="{E61B5E86-0AFD-4779-BEBC-2FAE1D2CF7B5}" uniqueName="7" name="Pers no" queryTableFieldId="7"/>
    <tableColumn id="8" xr3:uid="{2264520C-D319-4D38-B598-937F08E74810}" uniqueName="8" name="Last name" queryTableFieldId="8"/>
    <tableColumn id="9" xr3:uid="{4D98BF9F-78E8-45CE-B333-95215AAC495E}" uniqueName="9" name="First name" queryTableFieldId="9"/>
    <tableColumn id="10" xr3:uid="{BA3403C1-4B40-470F-B915-2435D2A3789F}" uniqueName="10" name="EEGrp" queryTableFieldId="10"/>
    <tableColumn id="11" xr3:uid="{0B013538-3E6E-4178-BBC6-E1ADB6655D81}" uniqueName="11" name="Employee Group" queryTableFieldId="11"/>
    <tableColumn id="12" xr3:uid="{FA74A7D2-7437-4738-A8C9-2CCDDEF818A5}" uniqueName="12" name="ESgrp" queryTableFieldId="12"/>
    <tableColumn id="13" xr3:uid="{D3BE27A5-2567-458D-A716-0550042B91AB}" uniqueName="13" name="Employee Subgroup" queryTableFieldId="13"/>
    <tableColumn id="14" xr3:uid="{1AEBB285-E47C-41EB-92C9-57195A17C5F4}" uniqueName="14" name="RNo" queryTableFieldId="14"/>
    <tableColumn id="15" xr3:uid="{2A89ED2D-FFFC-4295-ACD9-EF8564FE7B68}" uniqueName="15" name="Address Record Type" queryTableFieldId="15"/>
    <tableColumn id="16" xr3:uid="{3F213A3E-A568-4D5E-98EB-A13E5ED74D7B}" uniqueName="16" name="Infotype" queryTableFieldId="16"/>
    <tableColumn id="17" xr3:uid="{48F6A53C-3D0F-4295-975B-C561328C8D50}" uniqueName="17" name="Subtype" queryTableFieldId="17"/>
    <tableColumn id="18" xr3:uid="{FA2394C8-5553-4303-85D3-5949A0B89DB9}" uniqueName="18" name="End date" queryTableFieldId="18"/>
    <tableColumn id="19" xr3:uid="{9C4CF46B-1884-4E46-87FF-47D143AABD0D}" uniqueName="19" name="Start date" queryTableFieldId="19"/>
    <tableColumn id="20" xr3:uid="{6BC5E8D4-C0EF-4BF5-800C-8619A8539596}" uniqueName="20" name="Chngd on" queryTableFieldId="20" dataDxfId="2"/>
    <tableColumn id="21" xr3:uid="{67202E0F-BA91-4455-92A2-62D592E2BE1A}" uniqueName="21" name="Changed by" queryTableFieldId="21"/>
    <tableColumn id="22" xr3:uid="{E6E49CCE-3278-4542-93C7-C74B39BD5930}" uniqueName="22" name="CO name" queryTableFieldId="22"/>
    <tableColumn id="23" xr3:uid="{C95978F9-5214-467A-B2C0-65B4F296AEF8}" uniqueName="23" name="Supplier Address (ZD1 Care Of)" queryTableFieldId="23"/>
    <tableColumn id="24" xr3:uid="{2E17EE4B-C8D0-4E9A-B76A-E24B4B39FAD1}" uniqueName="24" name="Street and house number" queryTableFieldId="24"/>
    <tableColumn id="25" xr3:uid="{04895015-B7A3-4AB6-AD03-059FF46F2962}" uniqueName="25" name="City" queryTableFieldId="25"/>
    <tableColumn id="26" xr3:uid="{F6682238-871B-44D2-BFD9-16462C8955BB}" uniqueName="26" name="District" queryTableFieldId="26"/>
    <tableColumn id="27" xr3:uid="{ECACAB3F-F8F8-4586-A56F-879A7CA2D343}" uniqueName="27" name="Postal code" queryTableFieldId="27"/>
    <tableColumn id="28" xr3:uid="{59DD7F73-190F-4E7B-BAA5-036DD0A932A9}" uniqueName="28" name="Country key" queryTableFieldId="28"/>
    <tableColumn id="29" xr3:uid="{B556CA71-3EB9-4181-A770-EE38853D783B}" uniqueName="29" name="Telephone no" queryTableFieldId="29"/>
    <tableColumn id="30" xr3:uid="{E9E2D73A-9407-48B6-B082-DCFFB2882C3A}" uniqueName="30" name="Kms" queryTableFieldId="30"/>
    <tableColumn id="31" xr3:uid="{9D6FF09B-F508-426C-A7EA-BA479C9ACA30}" uniqueName="31" name="Bus" queryTableFieldId="31"/>
    <tableColumn id="32" xr3:uid="{1DD28997-8565-47D4-8136-A80B75F49B60}" uniqueName="32" name="2nd address line" queryTableFieldId="32"/>
    <tableColumn id="33" xr3:uid="{7F9E2791-8A37-485B-BBAD-9B41F8335CAA}" uniqueName="33" name="Street 2" queryTableFieldId="33"/>
    <tableColumn id="34" xr3:uid="{C1C6CAE3-A71D-4838-97A1-7BF6B86FDABC}" uniqueName="34" name="Street 3" queryTableFieldId="34"/>
    <tableColumn id="35" xr3:uid="{F605673D-55F8-49CE-9285-84D4ACC8A5DA}" uniqueName="35" name="Region (State Province Count)" queryTableFieldId="35"/>
    <tableColumn id="36" xr3:uid="{4C21D369-96D3-40CA-9318-3C9CB9B3EBEF}" uniqueName="36" name="House" queryTableFieldId="36"/>
    <tableColumn id="37" xr3:uid="{3557A46B-9154-4E99-AB68-C6DD267B94BD}" uniqueName="37" name="Aptmt" queryTableFieldId="37"/>
    <tableColumn id="38" xr3:uid="{A13DB558-49F5-45B7-8343-78BBA4DCC43C}" uniqueName="38" name="Municipal city code" queryTableFieldId="38"/>
    <tableColumn id="39" xr3:uid="{5BB2FF6C-6298-4211-BD66-96F14E15DBB0}" uniqueName="39" name="County Code" queryTableFieldId="39"/>
    <tableColumn id="40" xr3:uid="{8A4AB842-4166-48D3-A469-BD309D4A5A1C}" uniqueName="40" name="Indicator for relationship (sp)" queryTableFieldId="40"/>
    <tableColumn id="41" xr3:uid="{9306C6B1-E1F4-4034-BF6B-25F5F03F9661}" uniqueName="41" name="Number" queryTableFieldId="41"/>
    <tableColumn id="42" xr3:uid="{ABDA14CE-39CE-4768-BA02-EFD17E857A7E}" uniqueName="42" name="Type" queryTableFieldId="42"/>
    <tableColumn id="43" xr3:uid="{DDC5D969-9EC9-4237-B177-BA966E9CAB7B}" uniqueName="43" name="Street Abbreviation" queryTableFieldId="43"/>
    <tableColumn id="44" xr3:uid="{65A10114-CBC5-4B7F-8421-8899205E2535}" uniqueName="44" name="Floor" queryTableFieldId="44"/>
    <tableColumn id="45" xr3:uid="{16740647-9B85-4EB6-8096-81876492A6FA}" uniqueName="45" name="Buildings" queryTableFieldId="45"/>
    <tableColumn id="46" xr3:uid="{6A3E1995-4D7D-4077-B000-DDFD0E571E78}" uniqueName="46" name="CH" queryTableFieldId="46"/>
    <tableColumn id="47" xr3:uid="{A0E3A44A-A20C-4EF1-A26F-D99CD1DD36B0}" uniqueName="47" name="City (Katakana)" queryTableFieldId="47"/>
    <tableColumn id="48" xr3:uid="{171ED270-35BC-424E-9578-8C58E95627B7}" uniqueName="48" name="City Distr (Katakana)" queryTableFieldId="48"/>
    <tableColumn id="49" xr3:uid="{0710D039-9BCE-4812-94B0-DFB3C319DB7D}" uniqueName="49" name="Contact person (katakana)" queryTableFieldId="49"/>
    <tableColumn id="50" xr3:uid="{8C91F3F6-F90B-4929-B67F-3B955E515ED1}" uniqueName="50" name="Kms1" queryTableFieldId="50"/>
    <tableColumn id="51" xr3:uid="{0943CF44-8A3C-4F65-85B1-AC1FF5FD2152}" uniqueName="51" name="Reporting Period" queryTableFieldId="5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DB7427A-E130-4DD6-950E-D4819E7F16EE}" name="Table_INNOWIN43169_HRGO_REPORTING_Not_in_use_V_Payroll_RMEA_GEO_00416" displayName="Table_INNOWIN43169_HRGO_REPORTING_Not_in_use_V_Payroll_RMEA_GEO_00416" ref="A1:O2" tableType="queryTable" insertRow="1" totalsRowShown="0">
  <tableColumns count="15">
    <tableColumn id="1" xr3:uid="{CD8FFA7E-697C-40FD-A5F2-F6320ED5F0EB}" uniqueName="1" name="Country Text" queryTableFieldId="1"/>
    <tableColumn id="2" xr3:uid="{4857517A-A22A-4B87-BBA0-72BB08A36C16}" uniqueName="2" name="CoCd" queryTableFieldId="2"/>
    <tableColumn id="3" xr3:uid="{B09AE1EF-B3B8-4D9C-AB0E-E6B3954D030B}" uniqueName="3" name="Company Code" queryTableFieldId="3"/>
    <tableColumn id="4" xr3:uid="{756F4689-A57E-405A-9324-5A72ABD0EF2F}" uniqueName="4" name="PArea" queryTableFieldId="4"/>
    <tableColumn id="5" xr3:uid="{E6F704FC-F55A-4C5B-A385-6CD6F398B633}" uniqueName="5" name="Payroll Area" queryTableFieldId="5"/>
    <tableColumn id="6" xr3:uid="{024CE91D-8332-4F2D-AF04-1612A2774CFE}" uniqueName="6" name="PERSONID_EXT" queryTableFieldId="6"/>
    <tableColumn id="7" xr3:uid="{AA9E7EE7-1989-4A20-BDC3-F0C51C1FC6F3}" uniqueName="7" name="Pers No" queryTableFieldId="7"/>
    <tableColumn id="8" xr3:uid="{3E5EF87D-AF8D-4D26-9983-73BFFFBB7DE2}" uniqueName="8" name="Last name" queryTableFieldId="8"/>
    <tableColumn id="9" xr3:uid="{6665CA17-1B55-409B-ABB3-4179E94CC253}" uniqueName="9" name="First name" queryTableFieldId="9"/>
    <tableColumn id="10" xr3:uid="{566BD5AB-AF2B-4BDA-93E1-0877D818F8E5}" uniqueName="10" name="Start date" queryTableFieldId="10"/>
    <tableColumn id="11" xr3:uid="{0ADB7E67-9159-4B9E-916A-8D14A351A932}" uniqueName="11" name="Reason for Action" queryTableFieldId="11"/>
    <tableColumn id="12" xr3:uid="{3F99C31E-614D-4902-9B10-82AA67202EC0}" uniqueName="12" name="Changed by" queryTableFieldId="12"/>
    <tableColumn id="13" xr3:uid="{0105AF74-477F-46EC-864C-927AFCD2AE9C}" uniqueName="13" name="Chngd on" queryTableFieldId="13" dataDxfId="1"/>
    <tableColumn id="14" xr3:uid="{A6C8B730-B80A-444A-9FB5-9313C93C1A42}" uniqueName="14" name="Prev per no" queryTableFieldId="14"/>
    <tableColumn id="15" xr3:uid="{EFE18997-7752-4CDC-BC74-846A40837FB8}" uniqueName="15" name="Reporting Period" queryTableFieldId="1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99ED395-B837-4634-BC9B-55E1E304D125}" name="Table_INNOWIN43169_HRGO_REPORTING_Not_in_use_V_Payroll_RMEA_GEO_00417" displayName="Table_INNOWIN43169_HRGO_REPORTING_Not_in_use_V_Payroll_RMEA_GEO_00417" ref="A1:Q2" tableType="queryTable" insertRow="1" totalsRowShown="0">
  <tableColumns count="17">
    <tableColumn id="1" xr3:uid="{DB675634-53CE-4A83-81FC-7DED898B190C}" uniqueName="1" name="Country Text" queryTableFieldId="1"/>
    <tableColumn id="2" xr3:uid="{5841C6C5-BDA6-408E-9B04-EE15FEC6602D}" uniqueName="2" name="CoCd" queryTableFieldId="2"/>
    <tableColumn id="3" xr3:uid="{F2342052-4633-4BC2-93F0-CA8A89E91B37}" uniqueName="3" name="Company Code" queryTableFieldId="3"/>
    <tableColumn id="4" xr3:uid="{61E299CA-BB78-4DD5-B1EC-E61905353567}" uniqueName="4" name="PArea" queryTableFieldId="4"/>
    <tableColumn id="5" xr3:uid="{3BA40672-3D2E-4286-B29C-8F3B242E577D}" uniqueName="5" name="Payroll Area" queryTableFieldId="5"/>
    <tableColumn id="6" xr3:uid="{305520CC-6C08-4ECE-9FC3-360BD6C65D9C}" uniqueName="6" name="PERSONID_EXT" queryTableFieldId="6"/>
    <tableColumn id="7" xr3:uid="{B1A84D28-91FA-4B1F-BE2D-91E155794E8D}" uniqueName="7" name="Pers no " queryTableFieldId="7"/>
    <tableColumn id="8" xr3:uid="{1A7E94A7-6976-475C-85F3-A1F33682180C}" uniqueName="8" name="Start date" queryTableFieldId="8"/>
    <tableColumn id="9" xr3:uid="{6B636BE0-56C1-4851-8758-6B2D7C5F98F1}" uniqueName="9" name="Last name" queryTableFieldId="9"/>
    <tableColumn id="10" xr3:uid="{DBE5670C-DB87-4AC5-84AB-3C97C7435A11}" uniqueName="10" name="First name" queryTableFieldId="10"/>
    <tableColumn id="11" xr3:uid="{C304A3BC-B192-46CE-9BD7-5989D0418A33}" uniqueName="11" name="Employee Group" queryTableFieldId="11"/>
    <tableColumn id="12" xr3:uid="{5B85C064-AF8E-4597-9B8B-C1316F8CE5BA}" uniqueName="12" name="Action Type" queryTableFieldId="12"/>
    <tableColumn id="13" xr3:uid="{11F9AC76-2A96-4623-9923-88E571767E4E}" uniqueName="13" name="Reason for Action" queryTableFieldId="13"/>
    <tableColumn id="14" xr3:uid="{5028DE72-437B-4DDD-A8C0-86C843840857}" uniqueName="14" name="Chngd on" queryTableFieldId="14" dataDxfId="0"/>
    <tableColumn id="15" xr3:uid="{9E22539B-2A8D-4FC7-B72C-1D7E9460E322}" uniqueName="15" name="Changed by" queryTableFieldId="15"/>
    <tableColumn id="16" xr3:uid="{01239AF3-175C-498C-B17B-88B9882B3326}" uniqueName="16" name="Prev per no " queryTableFieldId="16"/>
    <tableColumn id="17" xr3:uid="{84987D12-18FA-44C8-BB88-78FE57F1E417}" uniqueName="17" name="Reporting Period" queryTableFieldId="1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63E63-7389-47C7-BE82-B871B2F15B2D}">
  <sheetPr codeName="Sheet1"/>
  <dimension ref="A1:Z50"/>
  <sheetViews>
    <sheetView showGridLines="0" tabSelected="1" workbookViewId="0">
      <selection activeCell="C12" sqref="C12"/>
    </sheetView>
  </sheetViews>
  <sheetFormatPr defaultRowHeight="14.4" x14ac:dyDescent="0.3"/>
  <sheetData>
    <row r="1" spans="1:26" ht="18" customHeight="1" x14ac:dyDescent="0.3">
      <c r="A1" s="2"/>
      <c r="B1" s="2"/>
      <c r="C1" s="2"/>
      <c r="D1" s="5"/>
      <c r="E1" s="5"/>
      <c r="F1" s="2"/>
      <c r="G1" s="2"/>
      <c r="H1" s="2"/>
      <c r="I1" s="24" t="s">
        <v>870</v>
      </c>
      <c r="J1" s="24"/>
      <c r="K1" s="24"/>
      <c r="L1" s="24"/>
      <c r="M1" s="24"/>
      <c r="N1" s="24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8" customHeight="1" x14ac:dyDescent="0.3">
      <c r="A2" s="2"/>
      <c r="B2" s="2"/>
      <c r="C2" s="2"/>
      <c r="D2" s="5"/>
      <c r="E2" s="5"/>
      <c r="F2" s="2"/>
      <c r="G2" s="2"/>
      <c r="H2" s="2"/>
      <c r="I2" s="24"/>
      <c r="J2" s="24"/>
      <c r="K2" s="24"/>
      <c r="L2" s="24"/>
      <c r="M2" s="24"/>
      <c r="N2" s="24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8" customHeight="1" x14ac:dyDescent="0.3">
      <c r="A3" s="2"/>
      <c r="B3" s="2"/>
      <c r="C3" s="2"/>
      <c r="D3" s="5"/>
      <c r="E3" s="5"/>
      <c r="F3" s="2"/>
      <c r="G3" s="2"/>
      <c r="H3" s="2"/>
      <c r="I3" s="24"/>
      <c r="J3" s="24"/>
      <c r="K3" s="24"/>
      <c r="L3" s="24"/>
      <c r="M3" s="24"/>
      <c r="N3" s="24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3">
      <c r="A4" s="1"/>
      <c r="B4" s="1"/>
      <c r="C4" s="1"/>
      <c r="D4" s="6"/>
      <c r="E4" s="6"/>
      <c r="F4" s="4" t="s">
        <v>14</v>
      </c>
      <c r="G4" s="4"/>
      <c r="H4" s="4"/>
      <c r="I4" s="4"/>
      <c r="J4" s="4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3">
      <c r="A5" s="1"/>
      <c r="B5" s="1"/>
      <c r="C5" s="1"/>
      <c r="D5" s="6"/>
      <c r="E5" s="6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3">
      <c r="A6" s="1"/>
      <c r="B6" s="1"/>
      <c r="C6" s="1"/>
      <c r="D6" s="6"/>
      <c r="E6" s="6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3">
      <c r="A7" s="1"/>
      <c r="B7" s="1"/>
      <c r="C7" s="1"/>
      <c r="D7" s="6"/>
      <c r="E7" s="6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3">
      <c r="A8" s="1"/>
      <c r="B8" s="1"/>
      <c r="C8" s="1"/>
      <c r="D8" s="6"/>
      <c r="E8" s="6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3">
      <c r="A9" s="1"/>
      <c r="B9" s="1"/>
      <c r="C9" s="1"/>
      <c r="D9" s="6"/>
      <c r="E9" s="6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3">
      <c r="A10" s="1"/>
      <c r="B10" s="1"/>
      <c r="C10" s="1"/>
      <c r="D10" s="6"/>
      <c r="E10" s="6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3">
      <c r="A11" s="1"/>
      <c r="B11" s="1"/>
      <c r="C11" s="1"/>
      <c r="D11" s="6"/>
      <c r="E11" s="6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3">
      <c r="A12" s="1"/>
      <c r="B12" s="1"/>
      <c r="C12" s="1"/>
      <c r="D12" s="6"/>
      <c r="E12" s="6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3">
      <c r="A13" s="1"/>
      <c r="B13" s="1"/>
      <c r="C13" s="1"/>
      <c r="D13" s="6"/>
      <c r="E13" s="6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3">
      <c r="A14" s="1"/>
      <c r="B14" s="1"/>
      <c r="C14" s="1"/>
      <c r="D14" s="6"/>
      <c r="E14" s="6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3">
      <c r="A15" s="1"/>
      <c r="B15" s="1"/>
      <c r="C15" s="1"/>
      <c r="D15" s="6"/>
      <c r="E15" s="6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3">
      <c r="A16" s="1"/>
      <c r="B16" s="1"/>
      <c r="C16" s="1"/>
      <c r="D16" s="6"/>
      <c r="E16" s="6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3">
      <c r="A17" s="1"/>
      <c r="B17" s="1"/>
      <c r="C17" s="1"/>
      <c r="D17" s="6"/>
      <c r="E17" s="6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3">
      <c r="A18" s="1"/>
      <c r="B18" s="1"/>
      <c r="C18" s="1"/>
      <c r="D18" s="6"/>
      <c r="E18" s="6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3">
      <c r="A19" s="1"/>
      <c r="B19" s="1"/>
      <c r="C19" s="1"/>
      <c r="D19" s="6"/>
      <c r="E19" s="6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3">
      <c r="A20" s="1"/>
      <c r="B20" s="1"/>
      <c r="C20" s="1"/>
      <c r="D20" s="6"/>
      <c r="E20" s="6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3">
      <c r="A21" s="1"/>
      <c r="B21" s="1"/>
      <c r="C21" s="1"/>
      <c r="D21" s="6"/>
      <c r="E21" s="6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3">
      <c r="A22" s="1"/>
      <c r="B22" s="1"/>
      <c r="C22" s="1"/>
      <c r="D22" s="6"/>
      <c r="E22" s="6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3">
      <c r="A23" s="1"/>
      <c r="B23" s="1"/>
      <c r="C23" s="1"/>
      <c r="D23" s="6"/>
      <c r="E23" s="6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3">
      <c r="A24" s="1"/>
      <c r="B24" s="1"/>
      <c r="C24" s="1"/>
      <c r="D24" s="6"/>
      <c r="E24" s="6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3">
      <c r="A25" s="1"/>
      <c r="B25" s="1"/>
      <c r="C25" s="1"/>
      <c r="D25" s="6"/>
      <c r="E25" s="6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3">
      <c r="A26" s="1"/>
      <c r="B26" s="1"/>
      <c r="C26" s="1"/>
      <c r="D26" s="6"/>
      <c r="E26" s="6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3">
      <c r="A27" s="1"/>
      <c r="B27" s="1"/>
      <c r="C27" s="1"/>
      <c r="D27" s="6"/>
      <c r="E27" s="6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3">
      <c r="A28" s="1"/>
      <c r="B28" s="1"/>
      <c r="C28" s="1"/>
      <c r="D28" s="6"/>
      <c r="E28" s="6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3">
      <c r="A29" s="1"/>
      <c r="B29" s="1"/>
      <c r="C29" s="1"/>
      <c r="D29" s="6"/>
      <c r="E29" s="6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3">
      <c r="A30" s="1"/>
      <c r="B30" s="1"/>
      <c r="C30" s="1"/>
      <c r="D30" s="6"/>
      <c r="E30" s="6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3">
      <c r="A31" s="1"/>
      <c r="B31" s="1"/>
      <c r="C31" s="1"/>
      <c r="D31" s="6"/>
      <c r="E31" s="6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3">
      <c r="A32" s="1"/>
      <c r="B32" s="1"/>
      <c r="C32" s="1"/>
      <c r="D32" s="6"/>
      <c r="E32" s="6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3">
      <c r="A33" s="1"/>
      <c r="B33" s="1"/>
      <c r="C33" s="1"/>
      <c r="D33" s="6"/>
      <c r="E33" s="6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3">
      <c r="A34" s="1"/>
      <c r="B34" s="1"/>
      <c r="C34" s="1"/>
      <c r="D34" s="6"/>
      <c r="E34" s="6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3">
      <c r="A35" s="1"/>
      <c r="B35" s="1"/>
      <c r="C35" s="1"/>
      <c r="D35" s="6"/>
      <c r="E35" s="6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3">
      <c r="A36" s="1"/>
      <c r="B36" s="1"/>
      <c r="C36" s="1"/>
      <c r="D36" s="6"/>
      <c r="E36" s="6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3">
      <c r="A37" s="1"/>
      <c r="B37" s="1"/>
      <c r="C37" s="1"/>
      <c r="D37" s="6"/>
      <c r="E37" s="6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3">
      <c r="A38" s="1"/>
      <c r="B38" s="1"/>
      <c r="C38" s="1"/>
      <c r="D38" s="6"/>
      <c r="E38" s="6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3">
      <c r="A39" s="1"/>
      <c r="B39" s="1"/>
      <c r="C39" s="1"/>
      <c r="D39" s="6"/>
      <c r="E39" s="6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3">
      <c r="A40" s="1"/>
      <c r="B40" s="1"/>
      <c r="C40" s="1"/>
      <c r="D40" s="6"/>
      <c r="E40" s="6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3">
      <c r="A41" s="1"/>
      <c r="B41" s="1"/>
      <c r="C41" s="1"/>
      <c r="D41" s="6"/>
      <c r="E41" s="6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3">
      <c r="A42" s="1"/>
      <c r="B42" s="1"/>
      <c r="C42" s="1"/>
      <c r="D42" s="6"/>
      <c r="E42" s="6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3">
      <c r="A43" s="1"/>
      <c r="B43" s="1"/>
      <c r="C43" s="1"/>
      <c r="D43" s="6"/>
      <c r="E43" s="6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3">
      <c r="A44" s="1"/>
      <c r="B44" s="1"/>
      <c r="C44" s="1"/>
      <c r="D44" s="6"/>
      <c r="E44" s="6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3">
      <c r="A45" s="1"/>
      <c r="B45" s="1"/>
      <c r="C45" s="1"/>
      <c r="D45" s="6"/>
      <c r="E45" s="6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3">
      <c r="A46" s="1"/>
      <c r="B46" s="1"/>
      <c r="C46" s="1"/>
      <c r="D46" s="6"/>
      <c r="E46" s="6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3">
      <c r="A47" s="1"/>
      <c r="B47" s="1"/>
      <c r="C47" s="1"/>
      <c r="D47" s="6"/>
      <c r="E47" s="6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3">
      <c r="A48" s="1"/>
      <c r="B48" s="1"/>
      <c r="C48" s="1"/>
      <c r="D48" s="6"/>
      <c r="E48" s="6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3">
      <c r="A49" s="1"/>
      <c r="B49" s="1"/>
      <c r="C49" s="1"/>
      <c r="D49" s="6"/>
      <c r="E49" s="6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3">
      <c r="A50" s="1"/>
      <c r="B50" s="1"/>
      <c r="C50" s="1"/>
      <c r="D50" s="6"/>
      <c r="E50" s="6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</sheetData>
  <mergeCells count="1">
    <mergeCell ref="I1:N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FC816-55A6-4CF4-B188-EFF9436E4FF1}">
  <sheetPr codeName="Sheet16"/>
  <dimension ref="A1:BE2"/>
  <sheetViews>
    <sheetView workbookViewId="0">
      <selection activeCell="A2" sqref="A2"/>
    </sheetView>
  </sheetViews>
  <sheetFormatPr defaultRowHeight="14.4" x14ac:dyDescent="0.3"/>
  <cols>
    <col min="1" max="1" width="14" bestFit="1" customWidth="1"/>
    <col min="2" max="2" width="5.44140625" bestFit="1" customWidth="1"/>
    <col min="3" max="3" width="14" bestFit="1" customWidth="1"/>
    <col min="4" max="4" width="6" bestFit="1" customWidth="1"/>
    <col min="5" max="5" width="18.21875" bestFit="1" customWidth="1"/>
    <col min="6" max="6" width="13.88671875" bestFit="1" customWidth="1"/>
    <col min="7" max="7" width="9" bestFit="1" customWidth="1"/>
    <col min="8" max="8" width="14.5546875" bestFit="1" customWidth="1"/>
    <col min="9" max="9" width="6" bestFit="1" customWidth="1"/>
    <col min="10" max="10" width="15.109375" bestFit="1" customWidth="1"/>
    <col min="11" max="11" width="20.21875" bestFit="1" customWidth="1"/>
    <col min="12" max="12" width="10.33203125" bestFit="1" customWidth="1"/>
    <col min="13" max="13" width="26.6640625" bestFit="1" customWidth="1"/>
    <col min="14" max="14" width="30.5546875" bestFit="1" customWidth="1"/>
    <col min="15" max="15" width="19.109375" bestFit="1" customWidth="1"/>
    <col min="16" max="16" width="4.5546875" bestFit="1" customWidth="1"/>
    <col min="17" max="17" width="10.6640625" bestFit="1" customWidth="1"/>
    <col min="18" max="18" width="10.33203125" bestFit="1" customWidth="1"/>
    <col min="19" max="19" width="16.33203125" bestFit="1" customWidth="1"/>
    <col min="20" max="20" width="11" bestFit="1" customWidth="1"/>
    <col min="21" max="21" width="22.6640625" bestFit="1" customWidth="1"/>
    <col min="22" max="22" width="16.44140625" bestFit="1" customWidth="1"/>
    <col min="23" max="23" width="31" bestFit="1" customWidth="1"/>
    <col min="24" max="24" width="55.33203125" bestFit="1" customWidth="1"/>
    <col min="25" max="25" width="19.21875" bestFit="1" customWidth="1"/>
    <col min="26" max="26" width="18.77734375" bestFit="1" customWidth="1"/>
    <col min="27" max="27" width="35.88671875" bestFit="1" customWidth="1"/>
    <col min="28" max="28" width="61.88671875" bestFit="1" customWidth="1"/>
    <col min="29" max="29" width="37.5546875" bestFit="1" customWidth="1"/>
    <col min="30" max="30" width="10.6640625" bestFit="1" customWidth="1"/>
    <col min="31" max="31" width="31.5546875" bestFit="1" customWidth="1"/>
    <col min="32" max="32" width="25.21875" bestFit="1" customWidth="1"/>
    <col min="33" max="33" width="19.6640625" bestFit="1" customWidth="1"/>
    <col min="34" max="34" width="5.5546875" bestFit="1" customWidth="1"/>
    <col min="35" max="35" width="6.21875" bestFit="1" customWidth="1"/>
    <col min="36" max="36" width="22.88671875" bestFit="1" customWidth="1"/>
    <col min="37" max="37" width="10" bestFit="1" customWidth="1"/>
    <col min="38" max="38" width="7" bestFit="1" customWidth="1"/>
    <col min="39" max="39" width="10.33203125" bestFit="1" customWidth="1"/>
    <col min="40" max="40" width="27.44140625" bestFit="1" customWidth="1"/>
    <col min="41" max="41" width="7.77734375" bestFit="1" customWidth="1"/>
    <col min="42" max="42" width="6.77734375" bestFit="1" customWidth="1"/>
    <col min="43" max="43" width="10.33203125" style="10" bestFit="1" customWidth="1"/>
    <col min="44" max="44" width="11" bestFit="1" customWidth="1"/>
    <col min="45" max="45" width="13.109375" bestFit="1" customWidth="1"/>
    <col min="46" max="46" width="44" bestFit="1" customWidth="1"/>
    <col min="47" max="47" width="22.88671875" bestFit="1" customWidth="1"/>
    <col min="48" max="48" width="11.6640625" bestFit="1" customWidth="1"/>
    <col min="49" max="49" width="9" bestFit="1" customWidth="1"/>
    <col min="50" max="50" width="39.109375" bestFit="1" customWidth="1"/>
    <col min="51" max="51" width="26.109375" bestFit="1" customWidth="1"/>
    <col min="52" max="52" width="23.88671875" bestFit="1" customWidth="1"/>
    <col min="53" max="54" width="32.77734375" bestFit="1" customWidth="1"/>
    <col min="55" max="55" width="17.44140625" bestFit="1" customWidth="1"/>
    <col min="56" max="56" width="29" bestFit="1" customWidth="1"/>
    <col min="57" max="57" width="15.21875" bestFit="1" customWidth="1"/>
  </cols>
  <sheetData>
    <row r="1" spans="1:57" x14ac:dyDescent="0.3">
      <c r="A1" t="s">
        <v>16</v>
      </c>
      <c r="B1" t="s">
        <v>92</v>
      </c>
      <c r="C1" t="s">
        <v>18</v>
      </c>
      <c r="D1" t="s">
        <v>19</v>
      </c>
      <c r="E1" t="s">
        <v>20</v>
      </c>
      <c r="F1" t="s">
        <v>21</v>
      </c>
      <c r="G1" t="s">
        <v>122</v>
      </c>
      <c r="H1" t="s">
        <v>250</v>
      </c>
      <c r="I1" t="s">
        <v>24</v>
      </c>
      <c r="J1" t="s">
        <v>25</v>
      </c>
      <c r="K1" t="s">
        <v>27</v>
      </c>
      <c r="L1" t="s">
        <v>131</v>
      </c>
      <c r="M1" t="s">
        <v>123</v>
      </c>
      <c r="N1" t="s">
        <v>23</v>
      </c>
      <c r="O1" t="s">
        <v>191</v>
      </c>
      <c r="P1" t="s">
        <v>169</v>
      </c>
      <c r="Q1" t="s">
        <v>176</v>
      </c>
      <c r="R1" t="s">
        <v>177</v>
      </c>
      <c r="S1" t="s">
        <v>186</v>
      </c>
      <c r="T1" t="s">
        <v>267</v>
      </c>
      <c r="U1" t="s">
        <v>268</v>
      </c>
      <c r="V1" t="s">
        <v>269</v>
      </c>
      <c r="W1" t="s">
        <v>129</v>
      </c>
      <c r="X1" t="s">
        <v>140</v>
      </c>
      <c r="Y1" t="s">
        <v>142</v>
      </c>
      <c r="Z1" t="s">
        <v>222</v>
      </c>
      <c r="AA1" t="s">
        <v>270</v>
      </c>
      <c r="AB1" t="s">
        <v>225</v>
      </c>
      <c r="AC1" t="s">
        <v>231</v>
      </c>
      <c r="AD1" t="s">
        <v>137</v>
      </c>
      <c r="AE1" t="s">
        <v>138</v>
      </c>
      <c r="AF1" t="s">
        <v>227</v>
      </c>
      <c r="AG1" t="s">
        <v>271</v>
      </c>
      <c r="AH1" t="s">
        <v>272</v>
      </c>
      <c r="AI1" t="s">
        <v>94</v>
      </c>
      <c r="AJ1" t="s">
        <v>95</v>
      </c>
      <c r="AK1" t="s">
        <v>3</v>
      </c>
      <c r="AL1" t="s">
        <v>273</v>
      </c>
      <c r="AM1" t="s">
        <v>217</v>
      </c>
      <c r="AN1" t="s">
        <v>218</v>
      </c>
      <c r="AO1" t="s">
        <v>274</v>
      </c>
      <c r="AP1" t="s">
        <v>275</v>
      </c>
      <c r="AQ1" s="10" t="s">
        <v>34</v>
      </c>
      <c r="AR1" t="s">
        <v>33</v>
      </c>
      <c r="AS1" t="s">
        <v>276</v>
      </c>
      <c r="AT1" t="s">
        <v>277</v>
      </c>
      <c r="AU1" t="s">
        <v>278</v>
      </c>
      <c r="AV1" t="s">
        <v>279</v>
      </c>
      <c r="AW1" t="s">
        <v>280</v>
      </c>
      <c r="AX1" t="s">
        <v>281</v>
      </c>
      <c r="AY1" t="s">
        <v>282</v>
      </c>
      <c r="AZ1" t="s">
        <v>283</v>
      </c>
      <c r="BA1" t="s">
        <v>284</v>
      </c>
      <c r="BB1" t="s">
        <v>285</v>
      </c>
      <c r="BC1" t="s">
        <v>214</v>
      </c>
      <c r="BD1" t="s">
        <v>212</v>
      </c>
      <c r="BE1" t="s">
        <v>254</v>
      </c>
    </row>
    <row r="2" spans="1:57" x14ac:dyDescent="0.3">
      <c r="L2" s="17"/>
      <c r="R2" s="17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9413C-D457-4E4A-82AA-BE438D2525EB}">
  <sheetPr codeName="Sheet5"/>
  <dimension ref="A1:F351"/>
  <sheetViews>
    <sheetView workbookViewId="0">
      <selection activeCell="A2" sqref="A2"/>
    </sheetView>
  </sheetViews>
  <sheetFormatPr defaultRowHeight="14.4" x14ac:dyDescent="0.3"/>
  <cols>
    <col min="1" max="1" width="95.88671875" bestFit="1" customWidth="1"/>
    <col min="2" max="2" width="17.6640625" bestFit="1" customWidth="1"/>
    <col min="3" max="3" width="14" bestFit="1" customWidth="1"/>
    <col min="4" max="5" width="10.5546875" style="10" bestFit="1" customWidth="1"/>
    <col min="6" max="6" width="10.5546875" bestFit="1" customWidth="1"/>
  </cols>
  <sheetData>
    <row r="1" spans="1:6" x14ac:dyDescent="0.3">
      <c r="A1" t="s">
        <v>813</v>
      </c>
      <c r="B1" t="s">
        <v>814</v>
      </c>
      <c r="C1" t="s">
        <v>125</v>
      </c>
      <c r="D1" s="12">
        <v>44114</v>
      </c>
      <c r="E1" s="12">
        <v>44144</v>
      </c>
      <c r="F1" t="s">
        <v>125</v>
      </c>
    </row>
    <row r="2" spans="1:6" x14ac:dyDescent="0.3">
      <c r="A2" t="s">
        <v>813</v>
      </c>
      <c r="B2" t="s">
        <v>815</v>
      </c>
      <c r="C2" t="s">
        <v>125</v>
      </c>
      <c r="D2" s="12">
        <v>44114</v>
      </c>
      <c r="E2" s="12">
        <v>44144</v>
      </c>
      <c r="F2" t="s">
        <v>125</v>
      </c>
    </row>
    <row r="3" spans="1:6" x14ac:dyDescent="0.3">
      <c r="A3" t="s">
        <v>813</v>
      </c>
      <c r="B3" t="s">
        <v>816</v>
      </c>
      <c r="C3" t="s">
        <v>125</v>
      </c>
      <c r="D3" s="12">
        <v>44114</v>
      </c>
      <c r="E3" s="12">
        <v>44144</v>
      </c>
      <c r="F3" t="s">
        <v>125</v>
      </c>
    </row>
    <row r="4" spans="1:6" x14ac:dyDescent="0.3">
      <c r="A4" t="s">
        <v>813</v>
      </c>
      <c r="B4" t="s">
        <v>817</v>
      </c>
      <c r="C4" t="s">
        <v>125</v>
      </c>
      <c r="D4" s="12">
        <v>44114</v>
      </c>
      <c r="E4" s="12">
        <v>44144</v>
      </c>
      <c r="F4" t="s">
        <v>125</v>
      </c>
    </row>
    <row r="5" spans="1:6" x14ac:dyDescent="0.3">
      <c r="A5" t="s">
        <v>813</v>
      </c>
      <c r="B5" t="s">
        <v>818</v>
      </c>
      <c r="C5" t="s">
        <v>125</v>
      </c>
      <c r="D5" s="12">
        <v>44114</v>
      </c>
      <c r="E5" s="12">
        <v>44144</v>
      </c>
      <c r="F5" t="s">
        <v>125</v>
      </c>
    </row>
    <row r="6" spans="1:6" x14ac:dyDescent="0.3">
      <c r="A6" t="s">
        <v>813</v>
      </c>
      <c r="B6" t="s">
        <v>819</v>
      </c>
      <c r="C6" t="s">
        <v>125</v>
      </c>
      <c r="D6" s="12">
        <v>44114</v>
      </c>
      <c r="E6" s="12">
        <v>44144</v>
      </c>
      <c r="F6" t="s">
        <v>125</v>
      </c>
    </row>
    <row r="7" spans="1:6" x14ac:dyDescent="0.3">
      <c r="A7" t="s">
        <v>813</v>
      </c>
      <c r="B7" t="s">
        <v>820</v>
      </c>
      <c r="C7" t="s">
        <v>125</v>
      </c>
      <c r="D7" s="12">
        <v>44114</v>
      </c>
      <c r="E7" s="12">
        <v>44144</v>
      </c>
      <c r="F7" t="s">
        <v>125</v>
      </c>
    </row>
    <row r="8" spans="1:6" x14ac:dyDescent="0.3">
      <c r="A8" t="s">
        <v>813</v>
      </c>
      <c r="B8" t="s">
        <v>821</v>
      </c>
      <c r="C8" t="s">
        <v>125</v>
      </c>
      <c r="D8" s="12">
        <v>44114</v>
      </c>
      <c r="E8" s="12">
        <v>44144</v>
      </c>
      <c r="F8" t="s">
        <v>125</v>
      </c>
    </row>
    <row r="9" spans="1:6" x14ac:dyDescent="0.3">
      <c r="A9" t="s">
        <v>813</v>
      </c>
      <c r="B9" t="s">
        <v>822</v>
      </c>
      <c r="C9" t="s">
        <v>125</v>
      </c>
      <c r="D9" s="12">
        <v>44114</v>
      </c>
      <c r="E9" s="12">
        <v>44144</v>
      </c>
      <c r="F9" t="s">
        <v>125</v>
      </c>
    </row>
    <row r="10" spans="1:6" x14ac:dyDescent="0.3">
      <c r="A10" t="s">
        <v>813</v>
      </c>
      <c r="B10" t="s">
        <v>823</v>
      </c>
      <c r="C10" t="s">
        <v>125</v>
      </c>
      <c r="D10" s="12">
        <v>44114</v>
      </c>
      <c r="E10" s="12">
        <v>44144</v>
      </c>
      <c r="F10" t="s">
        <v>125</v>
      </c>
    </row>
    <row r="11" spans="1:6" x14ac:dyDescent="0.3">
      <c r="A11" t="s">
        <v>813</v>
      </c>
      <c r="B11" t="s">
        <v>266</v>
      </c>
      <c r="C11" t="s">
        <v>125</v>
      </c>
      <c r="D11" s="12">
        <v>44114</v>
      </c>
      <c r="E11" s="12">
        <v>44144</v>
      </c>
      <c r="F11" t="s">
        <v>125</v>
      </c>
    </row>
    <row r="12" spans="1:6" x14ac:dyDescent="0.3">
      <c r="A12" t="s">
        <v>824</v>
      </c>
      <c r="B12" t="s">
        <v>814</v>
      </c>
      <c r="C12" t="s">
        <v>825</v>
      </c>
      <c r="D12" s="12">
        <v>44124</v>
      </c>
      <c r="E12" s="12">
        <v>44154</v>
      </c>
      <c r="F12" t="s">
        <v>825</v>
      </c>
    </row>
    <row r="13" spans="1:6" x14ac:dyDescent="0.3">
      <c r="A13" t="s">
        <v>824</v>
      </c>
      <c r="B13" t="s">
        <v>815</v>
      </c>
      <c r="C13" t="s">
        <v>825</v>
      </c>
      <c r="D13" s="12">
        <v>44124</v>
      </c>
      <c r="E13" s="12">
        <v>44154</v>
      </c>
      <c r="F13" t="s">
        <v>825</v>
      </c>
    </row>
    <row r="14" spans="1:6" x14ac:dyDescent="0.3">
      <c r="A14" t="s">
        <v>824</v>
      </c>
      <c r="B14" t="s">
        <v>817</v>
      </c>
      <c r="C14" t="s">
        <v>825</v>
      </c>
      <c r="D14" s="12">
        <v>44124</v>
      </c>
      <c r="E14" s="12">
        <v>44154</v>
      </c>
      <c r="F14" t="s">
        <v>825</v>
      </c>
    </row>
    <row r="15" spans="1:6" x14ac:dyDescent="0.3">
      <c r="A15" t="s">
        <v>824</v>
      </c>
      <c r="B15" t="s">
        <v>818</v>
      </c>
      <c r="C15" t="s">
        <v>825</v>
      </c>
      <c r="D15" s="12">
        <v>44124</v>
      </c>
      <c r="E15" s="12">
        <v>44154</v>
      </c>
      <c r="F15" t="s">
        <v>825</v>
      </c>
    </row>
    <row r="16" spans="1:6" x14ac:dyDescent="0.3">
      <c r="A16" t="s">
        <v>824</v>
      </c>
      <c r="B16" t="s">
        <v>816</v>
      </c>
      <c r="C16" t="s">
        <v>825</v>
      </c>
      <c r="D16" s="12">
        <v>44124</v>
      </c>
      <c r="E16" s="12">
        <v>44154</v>
      </c>
      <c r="F16" t="s">
        <v>825</v>
      </c>
    </row>
    <row r="17" spans="1:6" x14ac:dyDescent="0.3">
      <c r="A17" t="s">
        <v>824</v>
      </c>
      <c r="B17" t="s">
        <v>820</v>
      </c>
      <c r="C17" t="s">
        <v>825</v>
      </c>
      <c r="D17" s="12">
        <v>44124</v>
      </c>
      <c r="E17" s="12">
        <v>44154</v>
      </c>
      <c r="F17" t="s">
        <v>825</v>
      </c>
    </row>
    <row r="18" spans="1:6" x14ac:dyDescent="0.3">
      <c r="A18" t="s">
        <v>824</v>
      </c>
      <c r="B18" t="s">
        <v>819</v>
      </c>
      <c r="C18" t="s">
        <v>825</v>
      </c>
      <c r="D18" s="12">
        <v>44124</v>
      </c>
      <c r="E18" s="12">
        <v>44154</v>
      </c>
      <c r="F18" t="s">
        <v>825</v>
      </c>
    </row>
    <row r="19" spans="1:6" x14ac:dyDescent="0.3">
      <c r="A19" t="s">
        <v>824</v>
      </c>
      <c r="B19" t="s">
        <v>266</v>
      </c>
      <c r="C19" t="s">
        <v>825</v>
      </c>
      <c r="D19" s="12">
        <v>44124</v>
      </c>
      <c r="E19" s="12">
        <v>44154</v>
      </c>
      <c r="F19" t="s">
        <v>825</v>
      </c>
    </row>
    <row r="20" spans="1:6" x14ac:dyDescent="0.3">
      <c r="A20" t="s">
        <v>826</v>
      </c>
      <c r="B20" t="s">
        <v>827</v>
      </c>
      <c r="C20" t="s">
        <v>211</v>
      </c>
      <c r="D20" s="12">
        <v>44114</v>
      </c>
      <c r="E20" s="12">
        <v>44144</v>
      </c>
      <c r="F20" t="s">
        <v>211</v>
      </c>
    </row>
    <row r="21" spans="1:6" x14ac:dyDescent="0.3">
      <c r="A21" t="s">
        <v>826</v>
      </c>
      <c r="B21" t="s">
        <v>814</v>
      </c>
      <c r="C21" t="s">
        <v>211</v>
      </c>
      <c r="D21" s="12">
        <v>44114</v>
      </c>
      <c r="E21" s="12">
        <v>44144</v>
      </c>
      <c r="F21" t="s">
        <v>211</v>
      </c>
    </row>
    <row r="22" spans="1:6" x14ac:dyDescent="0.3">
      <c r="A22" t="s">
        <v>826</v>
      </c>
      <c r="B22" t="s">
        <v>815</v>
      </c>
      <c r="C22" t="s">
        <v>211</v>
      </c>
      <c r="D22" s="12">
        <v>44114</v>
      </c>
      <c r="E22" s="12">
        <v>44144</v>
      </c>
      <c r="F22" t="s">
        <v>211</v>
      </c>
    </row>
    <row r="23" spans="1:6" x14ac:dyDescent="0.3">
      <c r="A23" t="s">
        <v>826</v>
      </c>
      <c r="B23" t="s">
        <v>816</v>
      </c>
      <c r="C23" t="s">
        <v>211</v>
      </c>
      <c r="D23" s="12">
        <v>44114</v>
      </c>
      <c r="E23" s="12">
        <v>44144</v>
      </c>
      <c r="F23" t="s">
        <v>211</v>
      </c>
    </row>
    <row r="24" spans="1:6" x14ac:dyDescent="0.3">
      <c r="A24" t="s">
        <v>826</v>
      </c>
      <c r="B24" t="s">
        <v>817</v>
      </c>
      <c r="C24" t="s">
        <v>211</v>
      </c>
      <c r="D24" s="12">
        <v>44114</v>
      </c>
      <c r="E24" s="12">
        <v>44144</v>
      </c>
      <c r="F24" t="s">
        <v>211</v>
      </c>
    </row>
    <row r="25" spans="1:6" x14ac:dyDescent="0.3">
      <c r="A25" t="s">
        <v>826</v>
      </c>
      <c r="B25" t="s">
        <v>818</v>
      </c>
      <c r="C25" t="s">
        <v>211</v>
      </c>
      <c r="D25" s="12">
        <v>44114</v>
      </c>
      <c r="E25" s="12">
        <v>44144</v>
      </c>
      <c r="F25" t="s">
        <v>211</v>
      </c>
    </row>
    <row r="26" spans="1:6" x14ac:dyDescent="0.3">
      <c r="A26" t="s">
        <v>826</v>
      </c>
      <c r="B26" t="s">
        <v>819</v>
      </c>
      <c r="C26" t="s">
        <v>211</v>
      </c>
      <c r="D26" s="12">
        <v>44114</v>
      </c>
      <c r="E26" s="12">
        <v>44144</v>
      </c>
      <c r="F26" t="s">
        <v>211</v>
      </c>
    </row>
    <row r="27" spans="1:6" x14ac:dyDescent="0.3">
      <c r="A27" t="s">
        <v>826</v>
      </c>
      <c r="B27" t="s">
        <v>820</v>
      </c>
      <c r="C27" t="s">
        <v>211</v>
      </c>
      <c r="D27" s="12">
        <v>44114</v>
      </c>
      <c r="E27" s="12">
        <v>44144</v>
      </c>
      <c r="F27" t="s">
        <v>211</v>
      </c>
    </row>
    <row r="28" spans="1:6" x14ac:dyDescent="0.3">
      <c r="A28" t="s">
        <v>826</v>
      </c>
      <c r="B28" t="s">
        <v>821</v>
      </c>
      <c r="C28" t="s">
        <v>211</v>
      </c>
      <c r="D28" s="12">
        <v>44114</v>
      </c>
      <c r="E28" s="12">
        <v>44144</v>
      </c>
      <c r="F28" t="s">
        <v>211</v>
      </c>
    </row>
    <row r="29" spans="1:6" x14ac:dyDescent="0.3">
      <c r="A29" t="s">
        <v>826</v>
      </c>
      <c r="B29" t="s">
        <v>822</v>
      </c>
      <c r="C29" t="s">
        <v>211</v>
      </c>
      <c r="D29" s="12">
        <v>44114</v>
      </c>
      <c r="E29" s="12">
        <v>44144</v>
      </c>
      <c r="F29" t="s">
        <v>211</v>
      </c>
    </row>
    <row r="30" spans="1:6" x14ac:dyDescent="0.3">
      <c r="A30" t="s">
        <v>826</v>
      </c>
      <c r="B30" t="s">
        <v>823</v>
      </c>
      <c r="C30" t="s">
        <v>211</v>
      </c>
      <c r="D30" s="12">
        <v>44114</v>
      </c>
      <c r="E30" s="12">
        <v>44144</v>
      </c>
      <c r="F30" t="s">
        <v>211</v>
      </c>
    </row>
    <row r="31" spans="1:6" x14ac:dyDescent="0.3">
      <c r="A31" t="s">
        <v>826</v>
      </c>
      <c r="B31" t="s">
        <v>266</v>
      </c>
      <c r="C31" t="s">
        <v>211</v>
      </c>
      <c r="D31" s="12">
        <v>44114</v>
      </c>
      <c r="E31" s="12">
        <v>44144</v>
      </c>
      <c r="F31" t="s">
        <v>211</v>
      </c>
    </row>
    <row r="32" spans="1:6" x14ac:dyDescent="0.3">
      <c r="A32" t="s">
        <v>824</v>
      </c>
      <c r="B32" t="s">
        <v>814</v>
      </c>
      <c r="C32" t="s">
        <v>126</v>
      </c>
      <c r="D32" s="12">
        <v>44124</v>
      </c>
      <c r="E32" s="12">
        <v>44154</v>
      </c>
      <c r="F32" t="s">
        <v>126</v>
      </c>
    </row>
    <row r="33" spans="1:6" x14ac:dyDescent="0.3">
      <c r="A33" t="s">
        <v>824</v>
      </c>
      <c r="B33" t="s">
        <v>815</v>
      </c>
      <c r="C33" t="s">
        <v>126</v>
      </c>
      <c r="D33" s="12">
        <v>44124</v>
      </c>
      <c r="E33" s="12">
        <v>44154</v>
      </c>
      <c r="F33" t="s">
        <v>126</v>
      </c>
    </row>
    <row r="34" spans="1:6" x14ac:dyDescent="0.3">
      <c r="A34" t="s">
        <v>824</v>
      </c>
      <c r="B34" t="s">
        <v>817</v>
      </c>
      <c r="C34" t="s">
        <v>126</v>
      </c>
      <c r="D34" s="12">
        <v>44124</v>
      </c>
      <c r="E34" s="12">
        <v>44154</v>
      </c>
      <c r="F34" t="s">
        <v>126</v>
      </c>
    </row>
    <row r="35" spans="1:6" x14ac:dyDescent="0.3">
      <c r="A35" t="s">
        <v>824</v>
      </c>
      <c r="B35" t="s">
        <v>818</v>
      </c>
      <c r="C35" t="s">
        <v>126</v>
      </c>
      <c r="D35" s="12">
        <v>44124</v>
      </c>
      <c r="E35" s="12">
        <v>44154</v>
      </c>
      <c r="F35" t="s">
        <v>126</v>
      </c>
    </row>
    <row r="36" spans="1:6" x14ac:dyDescent="0.3">
      <c r="A36" t="s">
        <v>824</v>
      </c>
      <c r="B36" t="s">
        <v>816</v>
      </c>
      <c r="C36" t="s">
        <v>126</v>
      </c>
      <c r="D36" s="12">
        <v>44124</v>
      </c>
      <c r="E36" s="12">
        <v>44154</v>
      </c>
      <c r="F36" t="s">
        <v>126</v>
      </c>
    </row>
    <row r="37" spans="1:6" x14ac:dyDescent="0.3">
      <c r="A37" t="s">
        <v>824</v>
      </c>
      <c r="B37" t="s">
        <v>820</v>
      </c>
      <c r="C37" t="s">
        <v>126</v>
      </c>
      <c r="D37" s="12">
        <v>44124</v>
      </c>
      <c r="E37" s="12">
        <v>44154</v>
      </c>
      <c r="F37" t="s">
        <v>126</v>
      </c>
    </row>
    <row r="38" spans="1:6" x14ac:dyDescent="0.3">
      <c r="A38" t="s">
        <v>824</v>
      </c>
      <c r="B38" t="s">
        <v>819</v>
      </c>
      <c r="C38" t="s">
        <v>126</v>
      </c>
      <c r="D38" s="12">
        <v>44124</v>
      </c>
      <c r="E38" s="12">
        <v>44154</v>
      </c>
      <c r="F38" t="s">
        <v>126</v>
      </c>
    </row>
    <row r="39" spans="1:6" x14ac:dyDescent="0.3">
      <c r="A39" t="s">
        <v>824</v>
      </c>
      <c r="B39" t="s">
        <v>266</v>
      </c>
      <c r="C39" t="s">
        <v>126</v>
      </c>
      <c r="D39" s="12">
        <v>44124</v>
      </c>
      <c r="E39" s="12">
        <v>44154</v>
      </c>
      <c r="F39" t="s">
        <v>126</v>
      </c>
    </row>
    <row r="40" spans="1:6" x14ac:dyDescent="0.3">
      <c r="A40" t="s">
        <v>828</v>
      </c>
      <c r="B40" t="s">
        <v>821</v>
      </c>
      <c r="C40" t="s">
        <v>64</v>
      </c>
      <c r="D40" s="12">
        <v>44119</v>
      </c>
      <c r="E40" s="12">
        <v>44149</v>
      </c>
      <c r="F40" t="s">
        <v>64</v>
      </c>
    </row>
    <row r="41" spans="1:6" x14ac:dyDescent="0.3">
      <c r="A41" t="s">
        <v>828</v>
      </c>
      <c r="B41" t="s">
        <v>822</v>
      </c>
      <c r="C41" t="s">
        <v>64</v>
      </c>
      <c r="D41" s="12">
        <v>44119</v>
      </c>
      <c r="E41" s="12">
        <v>44149</v>
      </c>
      <c r="F41" t="s">
        <v>64</v>
      </c>
    </row>
    <row r="42" spans="1:6" x14ac:dyDescent="0.3">
      <c r="A42" t="s">
        <v>828</v>
      </c>
      <c r="B42" t="s">
        <v>815</v>
      </c>
      <c r="C42" t="s">
        <v>64</v>
      </c>
      <c r="D42" s="12">
        <v>44119</v>
      </c>
      <c r="E42" s="12">
        <v>44149</v>
      </c>
      <c r="F42" t="s">
        <v>64</v>
      </c>
    </row>
    <row r="43" spans="1:6" x14ac:dyDescent="0.3">
      <c r="A43" t="s">
        <v>828</v>
      </c>
      <c r="B43" t="s">
        <v>817</v>
      </c>
      <c r="C43" t="s">
        <v>64</v>
      </c>
      <c r="D43" s="12">
        <v>44119</v>
      </c>
      <c r="E43" s="12">
        <v>44149</v>
      </c>
      <c r="F43" t="s">
        <v>64</v>
      </c>
    </row>
    <row r="44" spans="1:6" x14ac:dyDescent="0.3">
      <c r="A44" t="s">
        <v>828</v>
      </c>
      <c r="B44" t="s">
        <v>818</v>
      </c>
      <c r="C44" t="s">
        <v>64</v>
      </c>
      <c r="D44" s="12">
        <v>44119</v>
      </c>
      <c r="E44" s="12">
        <v>44149</v>
      </c>
      <c r="F44" t="s">
        <v>64</v>
      </c>
    </row>
    <row r="45" spans="1:6" x14ac:dyDescent="0.3">
      <c r="A45" t="s">
        <v>828</v>
      </c>
      <c r="B45" t="s">
        <v>816</v>
      </c>
      <c r="C45" t="s">
        <v>64</v>
      </c>
      <c r="D45" s="12">
        <v>44119</v>
      </c>
      <c r="E45" s="12">
        <v>44149</v>
      </c>
      <c r="F45" t="s">
        <v>64</v>
      </c>
    </row>
    <row r="46" spans="1:6" x14ac:dyDescent="0.3">
      <c r="A46" t="s">
        <v>828</v>
      </c>
      <c r="B46" t="s">
        <v>823</v>
      </c>
      <c r="C46" t="s">
        <v>64</v>
      </c>
      <c r="D46" s="12">
        <v>44119</v>
      </c>
      <c r="E46" s="12">
        <v>44149</v>
      </c>
      <c r="F46" t="s">
        <v>64</v>
      </c>
    </row>
    <row r="47" spans="1:6" x14ac:dyDescent="0.3">
      <c r="A47" t="s">
        <v>828</v>
      </c>
      <c r="B47" t="s">
        <v>820</v>
      </c>
      <c r="C47" t="s">
        <v>64</v>
      </c>
      <c r="D47" s="12">
        <v>44119</v>
      </c>
      <c r="E47" s="12">
        <v>44149</v>
      </c>
      <c r="F47" t="s">
        <v>64</v>
      </c>
    </row>
    <row r="48" spans="1:6" x14ac:dyDescent="0.3">
      <c r="A48" t="s">
        <v>828</v>
      </c>
      <c r="B48" t="s">
        <v>819</v>
      </c>
      <c r="C48" t="s">
        <v>64</v>
      </c>
      <c r="D48" s="12">
        <v>44119</v>
      </c>
      <c r="E48" s="12">
        <v>44149</v>
      </c>
      <c r="F48" t="s">
        <v>64</v>
      </c>
    </row>
    <row r="49" spans="1:6" x14ac:dyDescent="0.3">
      <c r="A49" t="s">
        <v>828</v>
      </c>
      <c r="B49" t="s">
        <v>814</v>
      </c>
      <c r="C49" t="s">
        <v>64</v>
      </c>
      <c r="D49" s="12">
        <v>44136</v>
      </c>
      <c r="E49" s="12">
        <v>44165</v>
      </c>
      <c r="F49" t="s">
        <v>64</v>
      </c>
    </row>
    <row r="50" spans="1:6" x14ac:dyDescent="0.3">
      <c r="A50" t="s">
        <v>829</v>
      </c>
      <c r="B50" t="s">
        <v>814</v>
      </c>
      <c r="C50" t="s">
        <v>69</v>
      </c>
      <c r="D50" s="12">
        <v>44114</v>
      </c>
      <c r="E50" s="12">
        <v>44144</v>
      </c>
      <c r="F50" t="s">
        <v>69</v>
      </c>
    </row>
    <row r="51" spans="1:6" x14ac:dyDescent="0.3">
      <c r="A51" t="s">
        <v>829</v>
      </c>
      <c r="B51" t="s">
        <v>815</v>
      </c>
      <c r="C51" t="s">
        <v>69</v>
      </c>
      <c r="D51" s="12">
        <v>44114</v>
      </c>
      <c r="E51" s="12">
        <v>44144</v>
      </c>
      <c r="F51" t="s">
        <v>69</v>
      </c>
    </row>
    <row r="52" spans="1:6" x14ac:dyDescent="0.3">
      <c r="A52" t="s">
        <v>829</v>
      </c>
      <c r="B52" t="s">
        <v>816</v>
      </c>
      <c r="C52" t="s">
        <v>69</v>
      </c>
      <c r="D52" s="12">
        <v>44114</v>
      </c>
      <c r="E52" s="12">
        <v>44144</v>
      </c>
      <c r="F52" t="s">
        <v>69</v>
      </c>
    </row>
    <row r="53" spans="1:6" x14ac:dyDescent="0.3">
      <c r="A53" t="s">
        <v>829</v>
      </c>
      <c r="B53" t="s">
        <v>817</v>
      </c>
      <c r="C53" t="s">
        <v>69</v>
      </c>
      <c r="D53" s="12">
        <v>44114</v>
      </c>
      <c r="E53" s="12">
        <v>44144</v>
      </c>
      <c r="F53" t="s">
        <v>69</v>
      </c>
    </row>
    <row r="54" spans="1:6" x14ac:dyDescent="0.3">
      <c r="A54" t="s">
        <v>829</v>
      </c>
      <c r="B54" t="s">
        <v>818</v>
      </c>
      <c r="C54" t="s">
        <v>69</v>
      </c>
      <c r="D54" s="12">
        <v>44114</v>
      </c>
      <c r="E54" s="12">
        <v>44144</v>
      </c>
      <c r="F54" t="s">
        <v>69</v>
      </c>
    </row>
    <row r="55" spans="1:6" x14ac:dyDescent="0.3">
      <c r="A55" t="s">
        <v>829</v>
      </c>
      <c r="B55" t="s">
        <v>819</v>
      </c>
      <c r="C55" t="s">
        <v>69</v>
      </c>
      <c r="D55" s="12">
        <v>44114</v>
      </c>
      <c r="E55" s="12">
        <v>44144</v>
      </c>
      <c r="F55" t="s">
        <v>69</v>
      </c>
    </row>
    <row r="56" spans="1:6" x14ac:dyDescent="0.3">
      <c r="A56" t="s">
        <v>829</v>
      </c>
      <c r="B56" t="s">
        <v>820</v>
      </c>
      <c r="C56" t="s">
        <v>69</v>
      </c>
      <c r="D56" s="12">
        <v>44114</v>
      </c>
      <c r="E56" s="12">
        <v>44144</v>
      </c>
      <c r="F56" t="s">
        <v>69</v>
      </c>
    </row>
    <row r="57" spans="1:6" x14ac:dyDescent="0.3">
      <c r="A57" t="s">
        <v>829</v>
      </c>
      <c r="B57" t="s">
        <v>821</v>
      </c>
      <c r="C57" t="s">
        <v>69</v>
      </c>
      <c r="D57" s="12">
        <v>44114</v>
      </c>
      <c r="E57" s="12">
        <v>44144</v>
      </c>
      <c r="F57" t="s">
        <v>69</v>
      </c>
    </row>
    <row r="58" spans="1:6" x14ac:dyDescent="0.3">
      <c r="A58" t="s">
        <v>829</v>
      </c>
      <c r="B58" t="s">
        <v>822</v>
      </c>
      <c r="C58" t="s">
        <v>69</v>
      </c>
      <c r="D58" s="12">
        <v>44114</v>
      </c>
      <c r="E58" s="12">
        <v>44144</v>
      </c>
      <c r="F58" t="s">
        <v>69</v>
      </c>
    </row>
    <row r="59" spans="1:6" x14ac:dyDescent="0.3">
      <c r="A59" t="s">
        <v>829</v>
      </c>
      <c r="B59" t="s">
        <v>823</v>
      </c>
      <c r="C59" t="s">
        <v>69</v>
      </c>
      <c r="D59" s="12">
        <v>44114</v>
      </c>
      <c r="E59" s="12">
        <v>44144</v>
      </c>
      <c r="F59" t="s">
        <v>69</v>
      </c>
    </row>
    <row r="60" spans="1:6" x14ac:dyDescent="0.3">
      <c r="A60" t="s">
        <v>829</v>
      </c>
      <c r="B60" t="s">
        <v>266</v>
      </c>
      <c r="C60" t="s">
        <v>69</v>
      </c>
      <c r="D60" s="12">
        <v>44114</v>
      </c>
      <c r="E60" s="12">
        <v>44144</v>
      </c>
      <c r="F60" t="s">
        <v>69</v>
      </c>
    </row>
    <row r="61" spans="1:6" x14ac:dyDescent="0.3">
      <c r="A61" t="s">
        <v>830</v>
      </c>
      <c r="B61" t="s">
        <v>814</v>
      </c>
      <c r="C61" t="s">
        <v>40</v>
      </c>
      <c r="D61" s="12">
        <v>44119</v>
      </c>
      <c r="E61" s="12">
        <v>44149</v>
      </c>
      <c r="F61" t="s">
        <v>40</v>
      </c>
    </row>
    <row r="62" spans="1:6" x14ac:dyDescent="0.3">
      <c r="A62" t="s">
        <v>830</v>
      </c>
      <c r="B62" t="s">
        <v>817</v>
      </c>
      <c r="C62" t="s">
        <v>40</v>
      </c>
      <c r="D62" s="12">
        <v>44119</v>
      </c>
      <c r="E62" s="12">
        <v>44149</v>
      </c>
      <c r="F62" t="s">
        <v>40</v>
      </c>
    </row>
    <row r="63" spans="1:6" x14ac:dyDescent="0.3">
      <c r="A63" t="s">
        <v>830</v>
      </c>
      <c r="B63" t="s">
        <v>818</v>
      </c>
      <c r="C63" t="s">
        <v>40</v>
      </c>
      <c r="D63" s="12">
        <v>44119</v>
      </c>
      <c r="E63" s="12">
        <v>44149</v>
      </c>
      <c r="F63" t="s">
        <v>40</v>
      </c>
    </row>
    <row r="64" spans="1:6" x14ac:dyDescent="0.3">
      <c r="A64" t="s">
        <v>830</v>
      </c>
      <c r="B64" t="s">
        <v>816</v>
      </c>
      <c r="C64" t="s">
        <v>40</v>
      </c>
      <c r="D64" s="12">
        <v>44119</v>
      </c>
      <c r="E64" s="12">
        <v>44149</v>
      </c>
      <c r="F64" t="s">
        <v>40</v>
      </c>
    </row>
    <row r="65" spans="1:6" x14ac:dyDescent="0.3">
      <c r="A65" t="s">
        <v>830</v>
      </c>
      <c r="B65" t="s">
        <v>819</v>
      </c>
      <c r="C65" t="s">
        <v>40</v>
      </c>
      <c r="D65" s="12">
        <v>44119</v>
      </c>
      <c r="E65" s="12">
        <v>44149</v>
      </c>
      <c r="F65" t="s">
        <v>40</v>
      </c>
    </row>
    <row r="66" spans="1:6" x14ac:dyDescent="0.3">
      <c r="A66" t="s">
        <v>830</v>
      </c>
      <c r="B66" t="s">
        <v>820</v>
      </c>
      <c r="C66" t="s">
        <v>40</v>
      </c>
      <c r="D66" s="12">
        <v>44119</v>
      </c>
      <c r="E66" s="12">
        <v>44149</v>
      </c>
      <c r="F66" t="s">
        <v>40</v>
      </c>
    </row>
    <row r="67" spans="1:6" x14ac:dyDescent="0.3">
      <c r="A67" t="s">
        <v>830</v>
      </c>
      <c r="B67" t="s">
        <v>266</v>
      </c>
      <c r="C67" t="s">
        <v>40</v>
      </c>
      <c r="D67" s="12">
        <v>44119</v>
      </c>
      <c r="E67" s="12">
        <v>44149</v>
      </c>
      <c r="F67" t="s">
        <v>40</v>
      </c>
    </row>
    <row r="68" spans="1:6" x14ac:dyDescent="0.3">
      <c r="A68" t="s">
        <v>831</v>
      </c>
      <c r="B68" t="s">
        <v>827</v>
      </c>
      <c r="C68" t="s">
        <v>832</v>
      </c>
      <c r="D68" s="12">
        <v>44105</v>
      </c>
      <c r="E68" s="12">
        <v>44135</v>
      </c>
      <c r="F68" t="s">
        <v>832</v>
      </c>
    </row>
    <row r="69" spans="1:6" x14ac:dyDescent="0.3">
      <c r="A69" t="s">
        <v>831</v>
      </c>
      <c r="B69" t="s">
        <v>814</v>
      </c>
      <c r="C69" t="s">
        <v>832</v>
      </c>
      <c r="D69" s="12">
        <v>44105</v>
      </c>
      <c r="E69" s="12">
        <v>44135</v>
      </c>
      <c r="F69" t="s">
        <v>832</v>
      </c>
    </row>
    <row r="70" spans="1:6" x14ac:dyDescent="0.3">
      <c r="A70" t="s">
        <v>831</v>
      </c>
      <c r="B70" t="s">
        <v>815</v>
      </c>
      <c r="C70" t="s">
        <v>832</v>
      </c>
      <c r="D70" s="12">
        <v>44105</v>
      </c>
      <c r="E70" s="12">
        <v>44135</v>
      </c>
      <c r="F70" t="s">
        <v>832</v>
      </c>
    </row>
    <row r="71" spans="1:6" x14ac:dyDescent="0.3">
      <c r="A71" t="s">
        <v>831</v>
      </c>
      <c r="B71" t="s">
        <v>816</v>
      </c>
      <c r="C71" t="s">
        <v>832</v>
      </c>
      <c r="D71" s="12">
        <v>44105</v>
      </c>
      <c r="E71" s="12">
        <v>44135</v>
      </c>
      <c r="F71" t="s">
        <v>832</v>
      </c>
    </row>
    <row r="72" spans="1:6" x14ac:dyDescent="0.3">
      <c r="A72" t="s">
        <v>831</v>
      </c>
      <c r="B72" t="s">
        <v>817</v>
      </c>
      <c r="C72" t="s">
        <v>832</v>
      </c>
      <c r="D72" s="12">
        <v>44105</v>
      </c>
      <c r="E72" s="12">
        <v>44135</v>
      </c>
      <c r="F72" t="s">
        <v>832</v>
      </c>
    </row>
    <row r="73" spans="1:6" x14ac:dyDescent="0.3">
      <c r="A73" t="s">
        <v>831</v>
      </c>
      <c r="B73" t="s">
        <v>818</v>
      </c>
      <c r="C73" t="s">
        <v>832</v>
      </c>
      <c r="D73" s="12">
        <v>44105</v>
      </c>
      <c r="E73" s="12">
        <v>44135</v>
      </c>
      <c r="F73" t="s">
        <v>832</v>
      </c>
    </row>
    <row r="74" spans="1:6" x14ac:dyDescent="0.3">
      <c r="A74" t="s">
        <v>831</v>
      </c>
      <c r="B74" t="s">
        <v>819</v>
      </c>
      <c r="C74" t="s">
        <v>832</v>
      </c>
      <c r="D74" s="12">
        <v>44105</v>
      </c>
      <c r="E74" s="12">
        <v>44135</v>
      </c>
      <c r="F74" t="s">
        <v>832</v>
      </c>
    </row>
    <row r="75" spans="1:6" x14ac:dyDescent="0.3">
      <c r="A75" t="s">
        <v>831</v>
      </c>
      <c r="B75" t="s">
        <v>820</v>
      </c>
      <c r="C75" t="s">
        <v>832</v>
      </c>
      <c r="D75" s="12">
        <v>44105</v>
      </c>
      <c r="E75" s="12">
        <v>44135</v>
      </c>
      <c r="F75" t="s">
        <v>832</v>
      </c>
    </row>
    <row r="76" spans="1:6" x14ac:dyDescent="0.3">
      <c r="A76" t="s">
        <v>831</v>
      </c>
      <c r="B76" t="s">
        <v>821</v>
      </c>
      <c r="C76" t="s">
        <v>832</v>
      </c>
      <c r="D76" s="12">
        <v>44105</v>
      </c>
      <c r="E76" s="12">
        <v>44135</v>
      </c>
      <c r="F76" t="s">
        <v>832</v>
      </c>
    </row>
    <row r="77" spans="1:6" x14ac:dyDescent="0.3">
      <c r="A77" t="s">
        <v>831</v>
      </c>
      <c r="B77" t="s">
        <v>822</v>
      </c>
      <c r="C77" t="s">
        <v>832</v>
      </c>
      <c r="D77" s="12">
        <v>44105</v>
      </c>
      <c r="E77" s="12">
        <v>44135</v>
      </c>
      <c r="F77" t="s">
        <v>832</v>
      </c>
    </row>
    <row r="78" spans="1:6" x14ac:dyDescent="0.3">
      <c r="A78" t="s">
        <v>831</v>
      </c>
      <c r="B78" t="s">
        <v>823</v>
      </c>
      <c r="C78" t="s">
        <v>832</v>
      </c>
      <c r="D78" s="12">
        <v>44105</v>
      </c>
      <c r="E78" s="12">
        <v>44135</v>
      </c>
      <c r="F78" t="s">
        <v>832</v>
      </c>
    </row>
    <row r="79" spans="1:6" x14ac:dyDescent="0.3">
      <c r="A79" t="s">
        <v>831</v>
      </c>
      <c r="B79" t="s">
        <v>266</v>
      </c>
      <c r="C79" t="s">
        <v>832</v>
      </c>
      <c r="D79" s="12">
        <v>44105</v>
      </c>
      <c r="E79" s="12">
        <v>44135</v>
      </c>
      <c r="F79" t="s">
        <v>832</v>
      </c>
    </row>
    <row r="80" spans="1:6" x14ac:dyDescent="0.3">
      <c r="A80" t="s">
        <v>867</v>
      </c>
      <c r="B80" t="s">
        <v>815</v>
      </c>
      <c r="C80" t="s">
        <v>833</v>
      </c>
      <c r="D80" s="12">
        <v>44105</v>
      </c>
      <c r="E80" s="12">
        <v>44135</v>
      </c>
      <c r="F80" t="s">
        <v>833</v>
      </c>
    </row>
    <row r="81" spans="1:6" x14ac:dyDescent="0.3">
      <c r="A81" t="s">
        <v>867</v>
      </c>
      <c r="B81" t="s">
        <v>816</v>
      </c>
      <c r="C81" t="s">
        <v>833</v>
      </c>
      <c r="D81" s="12">
        <v>44105</v>
      </c>
      <c r="E81" s="12">
        <v>44135</v>
      </c>
      <c r="F81" t="s">
        <v>833</v>
      </c>
    </row>
    <row r="82" spans="1:6" x14ac:dyDescent="0.3">
      <c r="A82" t="s">
        <v>867</v>
      </c>
      <c r="B82" t="s">
        <v>827</v>
      </c>
      <c r="C82" t="s">
        <v>833</v>
      </c>
      <c r="D82" s="12">
        <v>44105</v>
      </c>
      <c r="E82" s="12">
        <v>44135</v>
      </c>
      <c r="F82" t="s">
        <v>833</v>
      </c>
    </row>
    <row r="83" spans="1:6" x14ac:dyDescent="0.3">
      <c r="A83" t="s">
        <v>867</v>
      </c>
      <c r="B83" t="s">
        <v>821</v>
      </c>
      <c r="C83" t="s">
        <v>833</v>
      </c>
      <c r="D83" s="12">
        <v>44119</v>
      </c>
      <c r="E83" s="12">
        <v>44149</v>
      </c>
      <c r="F83" t="s">
        <v>833</v>
      </c>
    </row>
    <row r="84" spans="1:6" x14ac:dyDescent="0.3">
      <c r="A84" t="s">
        <v>867</v>
      </c>
      <c r="B84" t="s">
        <v>822</v>
      </c>
      <c r="C84" t="s">
        <v>833</v>
      </c>
      <c r="D84" s="12">
        <v>44119</v>
      </c>
      <c r="E84" s="12">
        <v>44149</v>
      </c>
      <c r="F84" t="s">
        <v>833</v>
      </c>
    </row>
    <row r="85" spans="1:6" x14ac:dyDescent="0.3">
      <c r="A85" t="s">
        <v>867</v>
      </c>
      <c r="B85" t="s">
        <v>823</v>
      </c>
      <c r="C85" t="s">
        <v>833</v>
      </c>
      <c r="D85" s="12">
        <v>44119</v>
      </c>
      <c r="E85" s="12">
        <v>44149</v>
      </c>
      <c r="F85" t="s">
        <v>833</v>
      </c>
    </row>
    <row r="86" spans="1:6" x14ac:dyDescent="0.3">
      <c r="A86" t="s">
        <v>867</v>
      </c>
      <c r="B86" t="s">
        <v>266</v>
      </c>
      <c r="C86" t="s">
        <v>833</v>
      </c>
      <c r="D86" s="12">
        <v>44105</v>
      </c>
      <c r="E86" s="12">
        <v>44135</v>
      </c>
      <c r="F86" t="s">
        <v>833</v>
      </c>
    </row>
    <row r="87" spans="1:6" x14ac:dyDescent="0.3">
      <c r="A87" t="s">
        <v>867</v>
      </c>
      <c r="B87" t="s">
        <v>814</v>
      </c>
      <c r="C87" t="s">
        <v>834</v>
      </c>
      <c r="D87" s="12">
        <v>44130</v>
      </c>
      <c r="E87" s="12">
        <v>44143</v>
      </c>
      <c r="F87" t="s">
        <v>833</v>
      </c>
    </row>
    <row r="88" spans="1:6" x14ac:dyDescent="0.3">
      <c r="A88" t="s">
        <v>867</v>
      </c>
      <c r="B88" t="s">
        <v>814</v>
      </c>
      <c r="C88" t="s">
        <v>835</v>
      </c>
      <c r="D88" s="12">
        <v>44144</v>
      </c>
      <c r="E88" s="12">
        <v>44157</v>
      </c>
      <c r="F88" t="s">
        <v>833</v>
      </c>
    </row>
    <row r="89" spans="1:6" x14ac:dyDescent="0.3">
      <c r="A89" t="s">
        <v>836</v>
      </c>
      <c r="B89" t="s">
        <v>814</v>
      </c>
      <c r="C89" t="s">
        <v>104</v>
      </c>
      <c r="D89" s="12">
        <v>44105</v>
      </c>
      <c r="E89" s="12">
        <v>44135</v>
      </c>
      <c r="F89" t="s">
        <v>104</v>
      </c>
    </row>
    <row r="90" spans="1:6" x14ac:dyDescent="0.3">
      <c r="A90" t="s">
        <v>836</v>
      </c>
      <c r="B90" t="s">
        <v>820</v>
      </c>
      <c r="C90" t="s">
        <v>104</v>
      </c>
      <c r="D90" s="12">
        <v>44105</v>
      </c>
      <c r="E90" s="12">
        <v>44135</v>
      </c>
      <c r="F90" t="s">
        <v>104</v>
      </c>
    </row>
    <row r="91" spans="1:6" x14ac:dyDescent="0.3">
      <c r="A91" t="s">
        <v>836</v>
      </c>
      <c r="B91" t="s">
        <v>266</v>
      </c>
      <c r="C91" t="s">
        <v>104</v>
      </c>
      <c r="D91" s="12">
        <v>44105</v>
      </c>
      <c r="E91" s="12">
        <v>44135</v>
      </c>
      <c r="F91" t="s">
        <v>104</v>
      </c>
    </row>
    <row r="92" spans="1:6" x14ac:dyDescent="0.3">
      <c r="A92" t="s">
        <v>836</v>
      </c>
      <c r="B92" t="s">
        <v>821</v>
      </c>
      <c r="C92" t="s">
        <v>837</v>
      </c>
      <c r="D92" s="12">
        <v>44126</v>
      </c>
      <c r="E92" s="12">
        <v>44135</v>
      </c>
      <c r="F92" t="s">
        <v>104</v>
      </c>
    </row>
    <row r="93" spans="1:6" x14ac:dyDescent="0.3">
      <c r="A93" t="s">
        <v>836</v>
      </c>
      <c r="B93" t="s">
        <v>822</v>
      </c>
      <c r="C93" t="s">
        <v>837</v>
      </c>
      <c r="D93" s="12">
        <v>44126</v>
      </c>
      <c r="E93" s="12">
        <v>44135</v>
      </c>
      <c r="F93" t="s">
        <v>104</v>
      </c>
    </row>
    <row r="94" spans="1:6" x14ac:dyDescent="0.3">
      <c r="A94" t="s">
        <v>836</v>
      </c>
      <c r="B94" t="s">
        <v>815</v>
      </c>
      <c r="C94" t="s">
        <v>837</v>
      </c>
      <c r="D94" s="12">
        <v>44126</v>
      </c>
      <c r="E94" s="12">
        <v>44135</v>
      </c>
      <c r="F94" t="s">
        <v>104</v>
      </c>
    </row>
    <row r="95" spans="1:6" x14ac:dyDescent="0.3">
      <c r="A95" t="s">
        <v>836</v>
      </c>
      <c r="B95" t="s">
        <v>817</v>
      </c>
      <c r="C95" t="s">
        <v>837</v>
      </c>
      <c r="D95" s="12">
        <v>44126</v>
      </c>
      <c r="E95" s="12">
        <v>44135</v>
      </c>
      <c r="F95" t="s">
        <v>104</v>
      </c>
    </row>
    <row r="96" spans="1:6" x14ac:dyDescent="0.3">
      <c r="A96" t="s">
        <v>836</v>
      </c>
      <c r="B96" t="s">
        <v>818</v>
      </c>
      <c r="C96" t="s">
        <v>837</v>
      </c>
      <c r="D96" s="12">
        <v>44126</v>
      </c>
      <c r="E96" s="12">
        <v>44135</v>
      </c>
      <c r="F96" t="s">
        <v>104</v>
      </c>
    </row>
    <row r="97" spans="1:6" x14ac:dyDescent="0.3">
      <c r="A97" t="s">
        <v>836</v>
      </c>
      <c r="B97" t="s">
        <v>816</v>
      </c>
      <c r="C97" t="s">
        <v>837</v>
      </c>
      <c r="D97" s="12">
        <v>44126</v>
      </c>
      <c r="E97" s="12">
        <v>44135</v>
      </c>
      <c r="F97" t="s">
        <v>104</v>
      </c>
    </row>
    <row r="98" spans="1:6" x14ac:dyDescent="0.3">
      <c r="A98" t="s">
        <v>836</v>
      </c>
      <c r="B98" t="s">
        <v>823</v>
      </c>
      <c r="C98" t="s">
        <v>837</v>
      </c>
      <c r="D98" s="12">
        <v>44126</v>
      </c>
      <c r="E98" s="12">
        <v>44135</v>
      </c>
      <c r="F98" t="s">
        <v>104</v>
      </c>
    </row>
    <row r="99" spans="1:6" x14ac:dyDescent="0.3">
      <c r="A99" t="s">
        <v>836</v>
      </c>
      <c r="B99" t="s">
        <v>819</v>
      </c>
      <c r="C99" t="s">
        <v>837</v>
      </c>
      <c r="D99" s="12">
        <v>44126</v>
      </c>
      <c r="E99" s="12">
        <v>44135</v>
      </c>
      <c r="F99" t="s">
        <v>104</v>
      </c>
    </row>
    <row r="100" spans="1:6" x14ac:dyDescent="0.3">
      <c r="A100" t="s">
        <v>836</v>
      </c>
      <c r="B100" t="s">
        <v>821</v>
      </c>
      <c r="C100" t="s">
        <v>838</v>
      </c>
      <c r="D100" s="12">
        <v>44136</v>
      </c>
      <c r="E100" s="12">
        <v>44156</v>
      </c>
      <c r="F100" t="s">
        <v>104</v>
      </c>
    </row>
    <row r="101" spans="1:6" x14ac:dyDescent="0.3">
      <c r="A101" t="s">
        <v>836</v>
      </c>
      <c r="B101" t="s">
        <v>822</v>
      </c>
      <c r="C101" t="s">
        <v>838</v>
      </c>
      <c r="D101" s="12">
        <v>44136</v>
      </c>
      <c r="E101" s="12">
        <v>44156</v>
      </c>
      <c r="F101" t="s">
        <v>104</v>
      </c>
    </row>
    <row r="102" spans="1:6" x14ac:dyDescent="0.3">
      <c r="A102" t="s">
        <v>836</v>
      </c>
      <c r="B102" t="s">
        <v>815</v>
      </c>
      <c r="C102" t="s">
        <v>838</v>
      </c>
      <c r="D102" s="12">
        <v>44136</v>
      </c>
      <c r="E102" s="12">
        <v>44156</v>
      </c>
      <c r="F102" t="s">
        <v>104</v>
      </c>
    </row>
    <row r="103" spans="1:6" x14ac:dyDescent="0.3">
      <c r="A103" t="s">
        <v>836</v>
      </c>
      <c r="B103" t="s">
        <v>817</v>
      </c>
      <c r="C103" t="s">
        <v>838</v>
      </c>
      <c r="D103" s="12">
        <v>44136</v>
      </c>
      <c r="E103" s="12">
        <v>44156</v>
      </c>
      <c r="F103" t="s">
        <v>104</v>
      </c>
    </row>
    <row r="104" spans="1:6" x14ac:dyDescent="0.3">
      <c r="A104" t="s">
        <v>836</v>
      </c>
      <c r="B104" t="s">
        <v>818</v>
      </c>
      <c r="C104" t="s">
        <v>838</v>
      </c>
      <c r="D104" s="12">
        <v>44136</v>
      </c>
      <c r="E104" s="12">
        <v>44156</v>
      </c>
      <c r="F104" t="s">
        <v>104</v>
      </c>
    </row>
    <row r="105" spans="1:6" x14ac:dyDescent="0.3">
      <c r="A105" t="s">
        <v>836</v>
      </c>
      <c r="B105" t="s">
        <v>816</v>
      </c>
      <c r="C105" t="s">
        <v>838</v>
      </c>
      <c r="D105" s="12">
        <v>44136</v>
      </c>
      <c r="E105" s="12">
        <v>44156</v>
      </c>
      <c r="F105" t="s">
        <v>104</v>
      </c>
    </row>
    <row r="106" spans="1:6" x14ac:dyDescent="0.3">
      <c r="A106" t="s">
        <v>836</v>
      </c>
      <c r="B106" t="s">
        <v>823</v>
      </c>
      <c r="C106" t="s">
        <v>838</v>
      </c>
      <c r="D106" s="12">
        <v>44136</v>
      </c>
      <c r="E106" s="12">
        <v>44156</v>
      </c>
      <c r="F106" t="s">
        <v>104</v>
      </c>
    </row>
    <row r="107" spans="1:6" x14ac:dyDescent="0.3">
      <c r="A107" t="s">
        <v>836</v>
      </c>
      <c r="B107" t="s">
        <v>819</v>
      </c>
      <c r="C107" t="s">
        <v>838</v>
      </c>
      <c r="D107" s="12">
        <v>44136</v>
      </c>
      <c r="E107" s="12">
        <v>44156</v>
      </c>
      <c r="F107" t="s">
        <v>104</v>
      </c>
    </row>
    <row r="108" spans="1:6" x14ac:dyDescent="0.3">
      <c r="A108" t="s">
        <v>839</v>
      </c>
      <c r="B108" t="s">
        <v>814</v>
      </c>
      <c r="C108" t="s">
        <v>70</v>
      </c>
      <c r="D108" s="12">
        <v>44114</v>
      </c>
      <c r="E108" s="12">
        <v>44144</v>
      </c>
      <c r="F108" t="s">
        <v>70</v>
      </c>
    </row>
    <row r="109" spans="1:6" x14ac:dyDescent="0.3">
      <c r="A109" t="s">
        <v>839</v>
      </c>
      <c r="B109" t="s">
        <v>821</v>
      </c>
      <c r="C109" t="s">
        <v>70</v>
      </c>
      <c r="D109" s="12">
        <v>44114</v>
      </c>
      <c r="E109" s="12">
        <v>44144</v>
      </c>
      <c r="F109" t="s">
        <v>70</v>
      </c>
    </row>
    <row r="110" spans="1:6" x14ac:dyDescent="0.3">
      <c r="A110" t="s">
        <v>839</v>
      </c>
      <c r="B110" t="s">
        <v>822</v>
      </c>
      <c r="C110" t="s">
        <v>70</v>
      </c>
      <c r="D110" s="12">
        <v>44114</v>
      </c>
      <c r="E110" s="12">
        <v>44144</v>
      </c>
      <c r="F110" t="s">
        <v>70</v>
      </c>
    </row>
    <row r="111" spans="1:6" x14ac:dyDescent="0.3">
      <c r="A111" t="s">
        <v>839</v>
      </c>
      <c r="B111" t="s">
        <v>815</v>
      </c>
      <c r="C111" t="s">
        <v>70</v>
      </c>
      <c r="D111" s="12">
        <v>44114</v>
      </c>
      <c r="E111" s="12">
        <v>44144</v>
      </c>
      <c r="F111" t="s">
        <v>70</v>
      </c>
    </row>
    <row r="112" spans="1:6" x14ac:dyDescent="0.3">
      <c r="A112" t="s">
        <v>839</v>
      </c>
      <c r="B112" t="s">
        <v>817</v>
      </c>
      <c r="C112" t="s">
        <v>70</v>
      </c>
      <c r="D112" s="12">
        <v>44114</v>
      </c>
      <c r="E112" s="12">
        <v>44144</v>
      </c>
      <c r="F112" t="s">
        <v>70</v>
      </c>
    </row>
    <row r="113" spans="1:6" x14ac:dyDescent="0.3">
      <c r="A113" t="s">
        <v>839</v>
      </c>
      <c r="B113" t="s">
        <v>818</v>
      </c>
      <c r="C113" t="s">
        <v>70</v>
      </c>
      <c r="D113" s="12">
        <v>44114</v>
      </c>
      <c r="E113" s="12">
        <v>44144</v>
      </c>
      <c r="F113" t="s">
        <v>70</v>
      </c>
    </row>
    <row r="114" spans="1:6" x14ac:dyDescent="0.3">
      <c r="A114" t="s">
        <v>839</v>
      </c>
      <c r="B114" t="s">
        <v>816</v>
      </c>
      <c r="C114" t="s">
        <v>70</v>
      </c>
      <c r="D114" s="12">
        <v>44114</v>
      </c>
      <c r="E114" s="12">
        <v>44144</v>
      </c>
      <c r="F114" t="s">
        <v>70</v>
      </c>
    </row>
    <row r="115" spans="1:6" x14ac:dyDescent="0.3">
      <c r="A115" t="s">
        <v>839</v>
      </c>
      <c r="B115" t="s">
        <v>827</v>
      </c>
      <c r="C115" t="s">
        <v>70</v>
      </c>
      <c r="D115" s="12">
        <v>44114</v>
      </c>
      <c r="E115" s="12">
        <v>44144</v>
      </c>
      <c r="F115" t="s">
        <v>70</v>
      </c>
    </row>
    <row r="116" spans="1:6" x14ac:dyDescent="0.3">
      <c r="A116" t="s">
        <v>839</v>
      </c>
      <c r="B116" t="s">
        <v>823</v>
      </c>
      <c r="C116" t="s">
        <v>70</v>
      </c>
      <c r="D116" s="12">
        <v>44114</v>
      </c>
      <c r="E116" s="12">
        <v>44144</v>
      </c>
      <c r="F116" t="s">
        <v>70</v>
      </c>
    </row>
    <row r="117" spans="1:6" x14ac:dyDescent="0.3">
      <c r="A117" t="s">
        <v>839</v>
      </c>
      <c r="B117" t="s">
        <v>820</v>
      </c>
      <c r="C117" t="s">
        <v>70</v>
      </c>
      <c r="D117" s="12">
        <v>44114</v>
      </c>
      <c r="E117" s="12">
        <v>44144</v>
      </c>
      <c r="F117" t="s">
        <v>70</v>
      </c>
    </row>
    <row r="118" spans="1:6" x14ac:dyDescent="0.3">
      <c r="A118" t="s">
        <v>839</v>
      </c>
      <c r="B118" t="s">
        <v>819</v>
      </c>
      <c r="C118" t="s">
        <v>70</v>
      </c>
      <c r="D118" s="12">
        <v>44114</v>
      </c>
      <c r="E118" s="12">
        <v>44144</v>
      </c>
      <c r="F118" t="s">
        <v>70</v>
      </c>
    </row>
    <row r="119" spans="1:6" x14ac:dyDescent="0.3">
      <c r="A119" t="s">
        <v>839</v>
      </c>
      <c r="B119" t="s">
        <v>266</v>
      </c>
      <c r="C119" t="s">
        <v>70</v>
      </c>
      <c r="D119" s="12">
        <v>44135</v>
      </c>
      <c r="E119" s="12">
        <v>44161</v>
      </c>
      <c r="F119" t="s">
        <v>70</v>
      </c>
    </row>
    <row r="120" spans="1:6" x14ac:dyDescent="0.3">
      <c r="A120" t="s">
        <v>824</v>
      </c>
      <c r="B120" t="s">
        <v>814</v>
      </c>
      <c r="C120" t="s">
        <v>255</v>
      </c>
      <c r="D120" s="12">
        <v>44124</v>
      </c>
      <c r="E120" s="12">
        <v>44154</v>
      </c>
      <c r="F120" t="s">
        <v>255</v>
      </c>
    </row>
    <row r="121" spans="1:6" x14ac:dyDescent="0.3">
      <c r="A121" t="s">
        <v>824</v>
      </c>
      <c r="B121" t="s">
        <v>815</v>
      </c>
      <c r="C121" t="s">
        <v>255</v>
      </c>
      <c r="D121" s="12">
        <v>44124</v>
      </c>
      <c r="E121" s="12">
        <v>44154</v>
      </c>
      <c r="F121" t="s">
        <v>255</v>
      </c>
    </row>
    <row r="122" spans="1:6" x14ac:dyDescent="0.3">
      <c r="A122" t="s">
        <v>824</v>
      </c>
      <c r="B122" t="s">
        <v>817</v>
      </c>
      <c r="C122" t="s">
        <v>255</v>
      </c>
      <c r="D122" s="12">
        <v>44124</v>
      </c>
      <c r="E122" s="12">
        <v>44154</v>
      </c>
      <c r="F122" t="s">
        <v>255</v>
      </c>
    </row>
    <row r="123" spans="1:6" x14ac:dyDescent="0.3">
      <c r="A123" t="s">
        <v>824</v>
      </c>
      <c r="B123" t="s">
        <v>818</v>
      </c>
      <c r="C123" t="s">
        <v>255</v>
      </c>
      <c r="D123" s="12">
        <v>44124</v>
      </c>
      <c r="E123" s="12">
        <v>44154</v>
      </c>
      <c r="F123" t="s">
        <v>255</v>
      </c>
    </row>
    <row r="124" spans="1:6" x14ac:dyDescent="0.3">
      <c r="A124" t="s">
        <v>824</v>
      </c>
      <c r="B124" t="s">
        <v>816</v>
      </c>
      <c r="C124" t="s">
        <v>255</v>
      </c>
      <c r="D124" s="12">
        <v>44124</v>
      </c>
      <c r="E124" s="12">
        <v>44154</v>
      </c>
      <c r="F124" t="s">
        <v>255</v>
      </c>
    </row>
    <row r="125" spans="1:6" x14ac:dyDescent="0.3">
      <c r="A125" t="s">
        <v>824</v>
      </c>
      <c r="B125" t="s">
        <v>820</v>
      </c>
      <c r="C125" t="s">
        <v>255</v>
      </c>
      <c r="D125" s="12">
        <v>44124</v>
      </c>
      <c r="E125" s="12">
        <v>44154</v>
      </c>
      <c r="F125" t="s">
        <v>255</v>
      </c>
    </row>
    <row r="126" spans="1:6" x14ac:dyDescent="0.3">
      <c r="A126" t="s">
        <v>824</v>
      </c>
      <c r="B126" t="s">
        <v>819</v>
      </c>
      <c r="C126" t="s">
        <v>255</v>
      </c>
      <c r="D126" s="12">
        <v>44124</v>
      </c>
      <c r="E126" s="12">
        <v>44154</v>
      </c>
      <c r="F126" t="s">
        <v>255</v>
      </c>
    </row>
    <row r="127" spans="1:6" x14ac:dyDescent="0.3">
      <c r="A127" t="s">
        <v>840</v>
      </c>
      <c r="B127" t="s">
        <v>821</v>
      </c>
      <c r="C127" t="s">
        <v>36</v>
      </c>
      <c r="D127" s="12">
        <v>44107</v>
      </c>
      <c r="E127" s="12">
        <v>44137</v>
      </c>
      <c r="F127" t="s">
        <v>36</v>
      </c>
    </row>
    <row r="128" spans="1:6" x14ac:dyDescent="0.3">
      <c r="A128" t="s">
        <v>840</v>
      </c>
      <c r="B128" t="s">
        <v>822</v>
      </c>
      <c r="C128" t="s">
        <v>36</v>
      </c>
      <c r="D128" s="12">
        <v>44107</v>
      </c>
      <c r="E128" s="12">
        <v>44137</v>
      </c>
      <c r="F128" t="s">
        <v>36</v>
      </c>
    </row>
    <row r="129" spans="1:6" x14ac:dyDescent="0.3">
      <c r="A129" t="s">
        <v>840</v>
      </c>
      <c r="B129" t="s">
        <v>815</v>
      </c>
      <c r="C129" t="s">
        <v>36</v>
      </c>
      <c r="D129" s="12">
        <v>44107</v>
      </c>
      <c r="E129" s="12">
        <v>44137</v>
      </c>
      <c r="F129" t="s">
        <v>36</v>
      </c>
    </row>
    <row r="130" spans="1:6" x14ac:dyDescent="0.3">
      <c r="A130" t="s">
        <v>840</v>
      </c>
      <c r="B130" t="s">
        <v>817</v>
      </c>
      <c r="C130" t="s">
        <v>36</v>
      </c>
      <c r="D130" s="12">
        <v>44107</v>
      </c>
      <c r="E130" s="12">
        <v>44137</v>
      </c>
      <c r="F130" t="s">
        <v>36</v>
      </c>
    </row>
    <row r="131" spans="1:6" x14ac:dyDescent="0.3">
      <c r="A131" t="s">
        <v>840</v>
      </c>
      <c r="B131" t="s">
        <v>818</v>
      </c>
      <c r="C131" t="s">
        <v>36</v>
      </c>
      <c r="D131" s="12">
        <v>44107</v>
      </c>
      <c r="E131" s="12">
        <v>44137</v>
      </c>
      <c r="F131" t="s">
        <v>36</v>
      </c>
    </row>
    <row r="132" spans="1:6" x14ac:dyDescent="0.3">
      <c r="A132" t="s">
        <v>840</v>
      </c>
      <c r="B132" t="s">
        <v>816</v>
      </c>
      <c r="C132" t="s">
        <v>36</v>
      </c>
      <c r="D132" s="12">
        <v>44107</v>
      </c>
      <c r="E132" s="12">
        <v>44137</v>
      </c>
      <c r="F132" t="s">
        <v>36</v>
      </c>
    </row>
    <row r="133" spans="1:6" x14ac:dyDescent="0.3">
      <c r="A133" t="s">
        <v>840</v>
      </c>
      <c r="B133" t="s">
        <v>823</v>
      </c>
      <c r="C133" t="s">
        <v>36</v>
      </c>
      <c r="D133" s="12">
        <v>44107</v>
      </c>
      <c r="E133" s="12">
        <v>44137</v>
      </c>
      <c r="F133" t="s">
        <v>36</v>
      </c>
    </row>
    <row r="134" spans="1:6" x14ac:dyDescent="0.3">
      <c r="A134" t="s">
        <v>840</v>
      </c>
      <c r="B134" t="s">
        <v>827</v>
      </c>
      <c r="C134" t="s">
        <v>36</v>
      </c>
      <c r="D134" s="12">
        <v>44107</v>
      </c>
      <c r="E134" s="12">
        <v>44137</v>
      </c>
      <c r="F134" t="s">
        <v>36</v>
      </c>
    </row>
    <row r="135" spans="1:6" x14ac:dyDescent="0.3">
      <c r="A135" t="s">
        <v>840</v>
      </c>
      <c r="B135" t="s">
        <v>814</v>
      </c>
      <c r="C135" t="s">
        <v>841</v>
      </c>
      <c r="D135" s="12">
        <v>44122</v>
      </c>
      <c r="E135" s="12">
        <v>44137</v>
      </c>
      <c r="F135" t="s">
        <v>36</v>
      </c>
    </row>
    <row r="136" spans="1:6" x14ac:dyDescent="0.3">
      <c r="A136" t="s">
        <v>840</v>
      </c>
      <c r="B136" t="s">
        <v>266</v>
      </c>
      <c r="C136" t="s">
        <v>841</v>
      </c>
      <c r="D136" s="12">
        <v>44122</v>
      </c>
      <c r="E136" s="12">
        <v>44137</v>
      </c>
      <c r="F136" t="s">
        <v>36</v>
      </c>
    </row>
    <row r="137" spans="1:6" x14ac:dyDescent="0.3">
      <c r="A137" t="s">
        <v>840</v>
      </c>
      <c r="B137" t="s">
        <v>814</v>
      </c>
      <c r="C137" t="s">
        <v>842</v>
      </c>
      <c r="D137" s="12">
        <v>44138</v>
      </c>
      <c r="E137" s="12">
        <v>44152</v>
      </c>
      <c r="F137" t="s">
        <v>36</v>
      </c>
    </row>
    <row r="138" spans="1:6" x14ac:dyDescent="0.3">
      <c r="A138" t="s">
        <v>840</v>
      </c>
      <c r="B138" t="s">
        <v>266</v>
      </c>
      <c r="C138" t="s">
        <v>842</v>
      </c>
      <c r="D138" s="12">
        <v>44138</v>
      </c>
      <c r="E138" s="12">
        <v>44152</v>
      </c>
      <c r="F138" t="s">
        <v>36</v>
      </c>
    </row>
    <row r="139" spans="1:6" x14ac:dyDescent="0.3">
      <c r="A139" t="s">
        <v>843</v>
      </c>
      <c r="B139" t="s">
        <v>814</v>
      </c>
      <c r="C139" t="s">
        <v>65</v>
      </c>
      <c r="D139" s="12">
        <v>44110</v>
      </c>
      <c r="E139" s="12">
        <v>44140</v>
      </c>
      <c r="F139" t="s">
        <v>65</v>
      </c>
    </row>
    <row r="140" spans="1:6" x14ac:dyDescent="0.3">
      <c r="A140" t="s">
        <v>844</v>
      </c>
      <c r="B140" t="s">
        <v>815</v>
      </c>
      <c r="C140" t="s">
        <v>65</v>
      </c>
      <c r="D140" s="12">
        <v>44110</v>
      </c>
      <c r="E140" s="12">
        <v>44140</v>
      </c>
      <c r="F140" t="s">
        <v>65</v>
      </c>
    </row>
    <row r="141" spans="1:6" x14ac:dyDescent="0.3">
      <c r="A141" t="s">
        <v>844</v>
      </c>
      <c r="B141" t="s">
        <v>816</v>
      </c>
      <c r="C141" t="s">
        <v>65</v>
      </c>
      <c r="D141" s="12">
        <v>44110</v>
      </c>
      <c r="E141" s="12">
        <v>44140</v>
      </c>
      <c r="F141" t="s">
        <v>65</v>
      </c>
    </row>
    <row r="142" spans="1:6" x14ac:dyDescent="0.3">
      <c r="A142" t="s">
        <v>844</v>
      </c>
      <c r="B142" t="s">
        <v>817</v>
      </c>
      <c r="C142" t="s">
        <v>65</v>
      </c>
      <c r="D142" s="12">
        <v>44110</v>
      </c>
      <c r="E142" s="12">
        <v>44140</v>
      </c>
      <c r="F142" t="s">
        <v>65</v>
      </c>
    </row>
    <row r="143" spans="1:6" x14ac:dyDescent="0.3">
      <c r="A143" t="s">
        <v>844</v>
      </c>
      <c r="B143" t="s">
        <v>818</v>
      </c>
      <c r="C143" t="s">
        <v>65</v>
      </c>
      <c r="D143" s="12">
        <v>44110</v>
      </c>
      <c r="E143" s="12">
        <v>44140</v>
      </c>
      <c r="F143" t="s">
        <v>65</v>
      </c>
    </row>
    <row r="144" spans="1:6" x14ac:dyDescent="0.3">
      <c r="A144" t="s">
        <v>844</v>
      </c>
      <c r="B144" t="s">
        <v>820</v>
      </c>
      <c r="C144" t="s">
        <v>65</v>
      </c>
      <c r="D144" s="12">
        <v>44110</v>
      </c>
      <c r="E144" s="12">
        <v>44140</v>
      </c>
      <c r="F144" t="s">
        <v>65</v>
      </c>
    </row>
    <row r="145" spans="1:6" x14ac:dyDescent="0.3">
      <c r="A145" t="s">
        <v>844</v>
      </c>
      <c r="B145" t="s">
        <v>821</v>
      </c>
      <c r="C145" t="s">
        <v>65</v>
      </c>
      <c r="D145" s="12">
        <v>44110</v>
      </c>
      <c r="E145" s="12">
        <v>44140</v>
      </c>
      <c r="F145" t="s">
        <v>65</v>
      </c>
    </row>
    <row r="146" spans="1:6" x14ac:dyDescent="0.3">
      <c r="A146" t="s">
        <v>844</v>
      </c>
      <c r="B146" t="s">
        <v>822</v>
      </c>
      <c r="C146" t="s">
        <v>65</v>
      </c>
      <c r="D146" s="12">
        <v>44110</v>
      </c>
      <c r="E146" s="12">
        <v>44140</v>
      </c>
      <c r="F146" t="s">
        <v>65</v>
      </c>
    </row>
    <row r="147" spans="1:6" x14ac:dyDescent="0.3">
      <c r="A147" t="s">
        <v>844</v>
      </c>
      <c r="B147" t="s">
        <v>823</v>
      </c>
      <c r="C147" t="s">
        <v>65</v>
      </c>
      <c r="D147" s="12">
        <v>44110</v>
      </c>
      <c r="E147" s="12">
        <v>44140</v>
      </c>
      <c r="F147" t="s">
        <v>65</v>
      </c>
    </row>
    <row r="148" spans="1:6" x14ac:dyDescent="0.3">
      <c r="A148" t="s">
        <v>844</v>
      </c>
      <c r="B148" t="s">
        <v>819</v>
      </c>
      <c r="C148" t="s">
        <v>65</v>
      </c>
      <c r="D148" s="12">
        <v>44110</v>
      </c>
      <c r="E148" s="12">
        <v>44140</v>
      </c>
      <c r="F148" t="s">
        <v>65</v>
      </c>
    </row>
    <row r="149" spans="1:6" x14ac:dyDescent="0.3">
      <c r="A149" t="s">
        <v>844</v>
      </c>
      <c r="B149" t="s">
        <v>266</v>
      </c>
      <c r="C149" t="s">
        <v>65</v>
      </c>
      <c r="D149" s="12">
        <v>44110</v>
      </c>
      <c r="E149" s="12">
        <v>44140</v>
      </c>
      <c r="F149" t="s">
        <v>65</v>
      </c>
    </row>
    <row r="150" spans="1:6" x14ac:dyDescent="0.3">
      <c r="A150" t="s">
        <v>845</v>
      </c>
      <c r="B150" t="s">
        <v>814</v>
      </c>
      <c r="C150" t="s">
        <v>101</v>
      </c>
      <c r="D150" s="12">
        <v>44122</v>
      </c>
      <c r="E150" s="12">
        <v>44152</v>
      </c>
      <c r="F150" t="s">
        <v>101</v>
      </c>
    </row>
    <row r="151" spans="1:6" x14ac:dyDescent="0.3">
      <c r="A151" t="s">
        <v>845</v>
      </c>
      <c r="B151" t="s">
        <v>815</v>
      </c>
      <c r="C151" t="s">
        <v>101</v>
      </c>
      <c r="D151" s="12">
        <v>44122</v>
      </c>
      <c r="E151" s="12">
        <v>44152</v>
      </c>
      <c r="F151" t="s">
        <v>101</v>
      </c>
    </row>
    <row r="152" spans="1:6" x14ac:dyDescent="0.3">
      <c r="A152" t="s">
        <v>845</v>
      </c>
      <c r="B152" t="s">
        <v>817</v>
      </c>
      <c r="C152" t="s">
        <v>101</v>
      </c>
      <c r="D152" s="12">
        <v>44122</v>
      </c>
      <c r="E152" s="12">
        <v>44152</v>
      </c>
      <c r="F152" t="s">
        <v>101</v>
      </c>
    </row>
    <row r="153" spans="1:6" x14ac:dyDescent="0.3">
      <c r="A153" t="s">
        <v>845</v>
      </c>
      <c r="B153" t="s">
        <v>818</v>
      </c>
      <c r="C153" t="s">
        <v>101</v>
      </c>
      <c r="D153" s="12">
        <v>44122</v>
      </c>
      <c r="E153" s="12">
        <v>44152</v>
      </c>
      <c r="F153" t="s">
        <v>101</v>
      </c>
    </row>
    <row r="154" spans="1:6" x14ac:dyDescent="0.3">
      <c r="A154" t="s">
        <v>845</v>
      </c>
      <c r="B154" t="s">
        <v>816</v>
      </c>
      <c r="C154" t="s">
        <v>101</v>
      </c>
      <c r="D154" s="12">
        <v>44122</v>
      </c>
      <c r="E154" s="12">
        <v>44152</v>
      </c>
      <c r="F154" t="s">
        <v>101</v>
      </c>
    </row>
    <row r="155" spans="1:6" x14ac:dyDescent="0.3">
      <c r="A155" t="s">
        <v>845</v>
      </c>
      <c r="B155" t="s">
        <v>820</v>
      </c>
      <c r="C155" t="s">
        <v>101</v>
      </c>
      <c r="D155" s="12">
        <v>44122</v>
      </c>
      <c r="E155" s="12">
        <v>44152</v>
      </c>
      <c r="F155" t="s">
        <v>101</v>
      </c>
    </row>
    <row r="156" spans="1:6" x14ac:dyDescent="0.3">
      <c r="A156" t="s">
        <v>845</v>
      </c>
      <c r="B156" t="s">
        <v>819</v>
      </c>
      <c r="C156" t="s">
        <v>101</v>
      </c>
      <c r="D156" s="12">
        <v>44122</v>
      </c>
      <c r="E156" s="12">
        <v>44152</v>
      </c>
      <c r="F156" t="s">
        <v>101</v>
      </c>
    </row>
    <row r="157" spans="1:6" x14ac:dyDescent="0.3">
      <c r="A157" t="s">
        <v>845</v>
      </c>
      <c r="B157" t="s">
        <v>266</v>
      </c>
      <c r="C157" t="s">
        <v>101</v>
      </c>
      <c r="D157" s="12">
        <v>44122</v>
      </c>
      <c r="E157" s="12">
        <v>44152</v>
      </c>
      <c r="F157" t="s">
        <v>101</v>
      </c>
    </row>
    <row r="158" spans="1:6" x14ac:dyDescent="0.3">
      <c r="A158" t="s">
        <v>868</v>
      </c>
      <c r="B158" t="s">
        <v>814</v>
      </c>
      <c r="C158" t="s">
        <v>67</v>
      </c>
      <c r="D158" s="12">
        <v>44118</v>
      </c>
      <c r="E158" s="12">
        <v>44146</v>
      </c>
      <c r="F158" t="s">
        <v>67</v>
      </c>
    </row>
    <row r="159" spans="1:6" x14ac:dyDescent="0.3">
      <c r="A159" t="s">
        <v>868</v>
      </c>
      <c r="B159" t="s">
        <v>821</v>
      </c>
      <c r="C159" t="s">
        <v>67</v>
      </c>
      <c r="D159" s="12">
        <v>44118</v>
      </c>
      <c r="E159" s="12">
        <v>44146</v>
      </c>
      <c r="F159" t="s">
        <v>67</v>
      </c>
    </row>
    <row r="160" spans="1:6" x14ac:dyDescent="0.3">
      <c r="A160" t="s">
        <v>868</v>
      </c>
      <c r="B160" t="s">
        <v>822</v>
      </c>
      <c r="C160" t="s">
        <v>67</v>
      </c>
      <c r="D160" s="12">
        <v>44118</v>
      </c>
      <c r="E160" s="12">
        <v>44146</v>
      </c>
      <c r="F160" t="s">
        <v>67</v>
      </c>
    </row>
    <row r="161" spans="1:6" x14ac:dyDescent="0.3">
      <c r="A161" t="s">
        <v>868</v>
      </c>
      <c r="B161" t="s">
        <v>815</v>
      </c>
      <c r="C161" t="s">
        <v>67</v>
      </c>
      <c r="D161" s="12">
        <v>44118</v>
      </c>
      <c r="E161" s="12">
        <v>44146</v>
      </c>
      <c r="F161" t="s">
        <v>67</v>
      </c>
    </row>
    <row r="162" spans="1:6" x14ac:dyDescent="0.3">
      <c r="A162" t="s">
        <v>868</v>
      </c>
      <c r="B162" t="s">
        <v>817</v>
      </c>
      <c r="C162" t="s">
        <v>67</v>
      </c>
      <c r="D162" s="12">
        <v>44118</v>
      </c>
      <c r="E162" s="12">
        <v>44146</v>
      </c>
      <c r="F162" t="s">
        <v>67</v>
      </c>
    </row>
    <row r="163" spans="1:6" x14ac:dyDescent="0.3">
      <c r="A163" t="s">
        <v>868</v>
      </c>
      <c r="B163" t="s">
        <v>818</v>
      </c>
      <c r="C163" t="s">
        <v>67</v>
      </c>
      <c r="D163" s="12">
        <v>44118</v>
      </c>
      <c r="E163" s="12">
        <v>44146</v>
      </c>
      <c r="F163" t="s">
        <v>67</v>
      </c>
    </row>
    <row r="164" spans="1:6" x14ac:dyDescent="0.3">
      <c r="A164" t="s">
        <v>868</v>
      </c>
      <c r="B164" t="s">
        <v>816</v>
      </c>
      <c r="C164" t="s">
        <v>67</v>
      </c>
      <c r="D164" s="12">
        <v>44118</v>
      </c>
      <c r="E164" s="12">
        <v>44146</v>
      </c>
      <c r="F164" t="s">
        <v>67</v>
      </c>
    </row>
    <row r="165" spans="1:6" x14ac:dyDescent="0.3">
      <c r="A165" t="s">
        <v>868</v>
      </c>
      <c r="B165" t="s">
        <v>827</v>
      </c>
      <c r="C165" t="s">
        <v>67</v>
      </c>
      <c r="D165" s="12">
        <v>44118</v>
      </c>
      <c r="E165" s="12">
        <v>44146</v>
      </c>
      <c r="F165" t="s">
        <v>67</v>
      </c>
    </row>
    <row r="166" spans="1:6" x14ac:dyDescent="0.3">
      <c r="A166" t="s">
        <v>868</v>
      </c>
      <c r="B166" t="s">
        <v>823</v>
      </c>
      <c r="C166" t="s">
        <v>67</v>
      </c>
      <c r="D166" s="12">
        <v>44118</v>
      </c>
      <c r="E166" s="12">
        <v>44146</v>
      </c>
      <c r="F166" t="s">
        <v>67</v>
      </c>
    </row>
    <row r="167" spans="1:6" x14ac:dyDescent="0.3">
      <c r="A167" t="s">
        <v>868</v>
      </c>
      <c r="B167" t="s">
        <v>820</v>
      </c>
      <c r="C167" t="s">
        <v>67</v>
      </c>
      <c r="D167" s="12">
        <v>44118</v>
      </c>
      <c r="E167" s="12">
        <v>44146</v>
      </c>
      <c r="F167" t="s">
        <v>67</v>
      </c>
    </row>
    <row r="168" spans="1:6" x14ac:dyDescent="0.3">
      <c r="A168" t="s">
        <v>868</v>
      </c>
      <c r="B168" t="s">
        <v>819</v>
      </c>
      <c r="C168" t="s">
        <v>67</v>
      </c>
      <c r="D168" s="12">
        <v>44118</v>
      </c>
      <c r="E168" s="12">
        <v>44146</v>
      </c>
      <c r="F168" t="s">
        <v>67</v>
      </c>
    </row>
    <row r="169" spans="1:6" x14ac:dyDescent="0.3">
      <c r="A169" t="s">
        <v>868</v>
      </c>
      <c r="B169" t="s">
        <v>266</v>
      </c>
      <c r="C169" t="s">
        <v>67</v>
      </c>
      <c r="D169" s="12">
        <v>44118</v>
      </c>
      <c r="E169" s="12">
        <v>44146</v>
      </c>
      <c r="F169" t="s">
        <v>67</v>
      </c>
    </row>
    <row r="170" spans="1:6" x14ac:dyDescent="0.3">
      <c r="A170" t="s">
        <v>846</v>
      </c>
      <c r="B170" t="s">
        <v>822</v>
      </c>
      <c r="C170" t="s">
        <v>72</v>
      </c>
      <c r="D170" s="12">
        <v>44112</v>
      </c>
      <c r="E170" s="12">
        <v>44142</v>
      </c>
      <c r="F170" t="s">
        <v>72</v>
      </c>
    </row>
    <row r="171" spans="1:6" x14ac:dyDescent="0.3">
      <c r="A171" t="s">
        <v>847</v>
      </c>
      <c r="B171" t="s">
        <v>814</v>
      </c>
      <c r="C171" t="s">
        <v>68</v>
      </c>
      <c r="D171" s="12">
        <v>44117</v>
      </c>
      <c r="E171" s="12">
        <v>44147</v>
      </c>
      <c r="F171" t="s">
        <v>68</v>
      </c>
    </row>
    <row r="172" spans="1:6" x14ac:dyDescent="0.3">
      <c r="A172" t="s">
        <v>847</v>
      </c>
      <c r="B172" t="s">
        <v>821</v>
      </c>
      <c r="C172" t="s">
        <v>68</v>
      </c>
      <c r="D172" s="12">
        <v>44117</v>
      </c>
      <c r="E172" s="12">
        <v>44147</v>
      </c>
      <c r="F172" t="s">
        <v>68</v>
      </c>
    </row>
    <row r="173" spans="1:6" x14ac:dyDescent="0.3">
      <c r="A173" t="s">
        <v>847</v>
      </c>
      <c r="B173" t="s">
        <v>822</v>
      </c>
      <c r="C173" t="s">
        <v>68</v>
      </c>
      <c r="D173" s="12">
        <v>44117</v>
      </c>
      <c r="E173" s="12">
        <v>44147</v>
      </c>
      <c r="F173" t="s">
        <v>68</v>
      </c>
    </row>
    <row r="174" spans="1:6" x14ac:dyDescent="0.3">
      <c r="A174" t="s">
        <v>847</v>
      </c>
      <c r="B174" t="s">
        <v>815</v>
      </c>
      <c r="C174" t="s">
        <v>68</v>
      </c>
      <c r="D174" s="12">
        <v>44117</v>
      </c>
      <c r="E174" s="12">
        <v>44147</v>
      </c>
      <c r="F174" t="s">
        <v>68</v>
      </c>
    </row>
    <row r="175" spans="1:6" x14ac:dyDescent="0.3">
      <c r="A175" t="s">
        <v>847</v>
      </c>
      <c r="B175" t="s">
        <v>817</v>
      </c>
      <c r="C175" t="s">
        <v>68</v>
      </c>
      <c r="D175" s="12">
        <v>44117</v>
      </c>
      <c r="E175" s="12">
        <v>44147</v>
      </c>
      <c r="F175" t="s">
        <v>68</v>
      </c>
    </row>
    <row r="176" spans="1:6" x14ac:dyDescent="0.3">
      <c r="A176" t="s">
        <v>847</v>
      </c>
      <c r="B176" t="s">
        <v>818</v>
      </c>
      <c r="C176" t="s">
        <v>68</v>
      </c>
      <c r="D176" s="12">
        <v>44117</v>
      </c>
      <c r="E176" s="12">
        <v>44147</v>
      </c>
      <c r="F176" t="s">
        <v>68</v>
      </c>
    </row>
    <row r="177" spans="1:6" x14ac:dyDescent="0.3">
      <c r="A177" t="s">
        <v>847</v>
      </c>
      <c r="B177" t="s">
        <v>816</v>
      </c>
      <c r="C177" t="s">
        <v>68</v>
      </c>
      <c r="D177" s="12">
        <v>44117</v>
      </c>
      <c r="E177" s="12">
        <v>44147</v>
      </c>
      <c r="F177" t="s">
        <v>68</v>
      </c>
    </row>
    <row r="178" spans="1:6" x14ac:dyDescent="0.3">
      <c r="A178" t="s">
        <v>847</v>
      </c>
      <c r="B178" t="s">
        <v>827</v>
      </c>
      <c r="C178" t="s">
        <v>68</v>
      </c>
      <c r="D178" s="12">
        <v>44117</v>
      </c>
      <c r="E178" s="12">
        <v>44147</v>
      </c>
      <c r="F178" t="s">
        <v>68</v>
      </c>
    </row>
    <row r="179" spans="1:6" x14ac:dyDescent="0.3">
      <c r="A179" t="s">
        <v>847</v>
      </c>
      <c r="B179" t="s">
        <v>823</v>
      </c>
      <c r="C179" t="s">
        <v>68</v>
      </c>
      <c r="D179" s="12">
        <v>44117</v>
      </c>
      <c r="E179" s="12">
        <v>44147</v>
      </c>
      <c r="F179" t="s">
        <v>68</v>
      </c>
    </row>
    <row r="180" spans="1:6" x14ac:dyDescent="0.3">
      <c r="A180" t="s">
        <v>847</v>
      </c>
      <c r="B180" t="s">
        <v>820</v>
      </c>
      <c r="C180" t="s">
        <v>68</v>
      </c>
      <c r="D180" s="12">
        <v>44117</v>
      </c>
      <c r="E180" s="12">
        <v>44147</v>
      </c>
      <c r="F180" t="s">
        <v>68</v>
      </c>
    </row>
    <row r="181" spans="1:6" x14ac:dyDescent="0.3">
      <c r="A181" t="s">
        <v>847</v>
      </c>
      <c r="B181" t="s">
        <v>819</v>
      </c>
      <c r="C181" t="s">
        <v>68</v>
      </c>
      <c r="D181" s="12">
        <v>44117</v>
      </c>
      <c r="E181" s="12">
        <v>44147</v>
      </c>
      <c r="F181" t="s">
        <v>68</v>
      </c>
    </row>
    <row r="182" spans="1:6" x14ac:dyDescent="0.3">
      <c r="A182" t="s">
        <v>847</v>
      </c>
      <c r="B182" t="s">
        <v>266</v>
      </c>
      <c r="C182" t="s">
        <v>68</v>
      </c>
      <c r="D182" s="12">
        <v>44117</v>
      </c>
      <c r="E182" s="12">
        <v>44147</v>
      </c>
      <c r="F182" t="s">
        <v>68</v>
      </c>
    </row>
    <row r="183" spans="1:6" x14ac:dyDescent="0.3">
      <c r="A183" t="s">
        <v>824</v>
      </c>
      <c r="B183" t="s">
        <v>815</v>
      </c>
      <c r="C183" t="s">
        <v>105</v>
      </c>
      <c r="D183" s="12">
        <v>44122</v>
      </c>
      <c r="E183" s="12">
        <v>44152</v>
      </c>
      <c r="F183" t="s">
        <v>105</v>
      </c>
    </row>
    <row r="184" spans="1:6" x14ac:dyDescent="0.3">
      <c r="A184" t="s">
        <v>824</v>
      </c>
      <c r="B184" t="s">
        <v>817</v>
      </c>
      <c r="C184" t="s">
        <v>105</v>
      </c>
      <c r="D184" s="12">
        <v>44122</v>
      </c>
      <c r="E184" s="12">
        <v>44152</v>
      </c>
      <c r="F184" t="s">
        <v>105</v>
      </c>
    </row>
    <row r="185" spans="1:6" x14ac:dyDescent="0.3">
      <c r="A185" t="s">
        <v>824</v>
      </c>
      <c r="B185" t="s">
        <v>818</v>
      </c>
      <c r="C185" t="s">
        <v>105</v>
      </c>
      <c r="D185" s="12">
        <v>44122</v>
      </c>
      <c r="E185" s="12">
        <v>44152</v>
      </c>
      <c r="F185" t="s">
        <v>105</v>
      </c>
    </row>
    <row r="186" spans="1:6" x14ac:dyDescent="0.3">
      <c r="A186" t="s">
        <v>824</v>
      </c>
      <c r="B186" t="s">
        <v>816</v>
      </c>
      <c r="C186" t="s">
        <v>105</v>
      </c>
      <c r="D186" s="12">
        <v>44122</v>
      </c>
      <c r="E186" s="12">
        <v>44152</v>
      </c>
      <c r="F186" t="s">
        <v>105</v>
      </c>
    </row>
    <row r="187" spans="1:6" x14ac:dyDescent="0.3">
      <c r="A187" t="s">
        <v>824</v>
      </c>
      <c r="B187" t="s">
        <v>820</v>
      </c>
      <c r="C187" t="s">
        <v>105</v>
      </c>
      <c r="D187" s="12">
        <v>44122</v>
      </c>
      <c r="E187" s="12">
        <v>44152</v>
      </c>
      <c r="F187" t="s">
        <v>105</v>
      </c>
    </row>
    <row r="188" spans="1:6" x14ac:dyDescent="0.3">
      <c r="A188" t="s">
        <v>824</v>
      </c>
      <c r="B188" t="s">
        <v>819</v>
      </c>
      <c r="C188" t="s">
        <v>105</v>
      </c>
      <c r="D188" s="12">
        <v>44122</v>
      </c>
      <c r="E188" s="12">
        <v>44152</v>
      </c>
      <c r="F188" t="s">
        <v>105</v>
      </c>
    </row>
    <row r="189" spans="1:6" x14ac:dyDescent="0.3">
      <c r="A189" t="s">
        <v>824</v>
      </c>
      <c r="B189" t="s">
        <v>266</v>
      </c>
      <c r="C189" t="s">
        <v>105</v>
      </c>
      <c r="D189" s="12">
        <v>44122</v>
      </c>
      <c r="E189" s="12">
        <v>44152</v>
      </c>
      <c r="F189" t="s">
        <v>105</v>
      </c>
    </row>
    <row r="190" spans="1:6" x14ac:dyDescent="0.3">
      <c r="A190" t="s">
        <v>824</v>
      </c>
      <c r="B190" t="s">
        <v>814</v>
      </c>
      <c r="C190" t="s">
        <v>848</v>
      </c>
      <c r="D190" s="12">
        <v>44122</v>
      </c>
      <c r="E190" s="12">
        <v>44152</v>
      </c>
      <c r="F190" t="s">
        <v>105</v>
      </c>
    </row>
    <row r="191" spans="1:6" x14ac:dyDescent="0.3">
      <c r="A191" t="s">
        <v>849</v>
      </c>
      <c r="B191" t="s">
        <v>814</v>
      </c>
      <c r="C191" t="s">
        <v>124</v>
      </c>
      <c r="D191" s="12">
        <v>44117</v>
      </c>
      <c r="E191" s="12">
        <v>44147</v>
      </c>
      <c r="F191" t="s">
        <v>124</v>
      </c>
    </row>
    <row r="192" spans="1:6" x14ac:dyDescent="0.3">
      <c r="A192" t="s">
        <v>849</v>
      </c>
      <c r="B192" t="s">
        <v>821</v>
      </c>
      <c r="C192" t="s">
        <v>124</v>
      </c>
      <c r="D192" s="12">
        <v>44117</v>
      </c>
      <c r="E192" s="12">
        <v>44147</v>
      </c>
      <c r="F192" t="s">
        <v>124</v>
      </c>
    </row>
    <row r="193" spans="1:6" x14ac:dyDescent="0.3">
      <c r="A193" t="s">
        <v>849</v>
      </c>
      <c r="B193" t="s">
        <v>822</v>
      </c>
      <c r="C193" t="s">
        <v>124</v>
      </c>
      <c r="D193" s="12">
        <v>44117</v>
      </c>
      <c r="E193" s="12">
        <v>44147</v>
      </c>
      <c r="F193" t="s">
        <v>124</v>
      </c>
    </row>
    <row r="194" spans="1:6" x14ac:dyDescent="0.3">
      <c r="A194" t="s">
        <v>849</v>
      </c>
      <c r="B194" t="s">
        <v>815</v>
      </c>
      <c r="C194" t="s">
        <v>124</v>
      </c>
      <c r="D194" s="12">
        <v>44117</v>
      </c>
      <c r="E194" s="12">
        <v>44147</v>
      </c>
      <c r="F194" t="s">
        <v>124</v>
      </c>
    </row>
    <row r="195" spans="1:6" x14ac:dyDescent="0.3">
      <c r="A195" t="s">
        <v>849</v>
      </c>
      <c r="B195" t="s">
        <v>817</v>
      </c>
      <c r="C195" t="s">
        <v>124</v>
      </c>
      <c r="D195" s="12">
        <v>44117</v>
      </c>
      <c r="E195" s="12">
        <v>44147</v>
      </c>
      <c r="F195" t="s">
        <v>124</v>
      </c>
    </row>
    <row r="196" spans="1:6" x14ac:dyDescent="0.3">
      <c r="A196" t="s">
        <v>849</v>
      </c>
      <c r="B196" t="s">
        <v>818</v>
      </c>
      <c r="C196" t="s">
        <v>124</v>
      </c>
      <c r="D196" s="12">
        <v>44117</v>
      </c>
      <c r="E196" s="12">
        <v>44147</v>
      </c>
      <c r="F196" t="s">
        <v>124</v>
      </c>
    </row>
    <row r="197" spans="1:6" x14ac:dyDescent="0.3">
      <c r="A197" t="s">
        <v>849</v>
      </c>
      <c r="B197" t="s">
        <v>816</v>
      </c>
      <c r="C197" t="s">
        <v>124</v>
      </c>
      <c r="D197" s="12">
        <v>44117</v>
      </c>
      <c r="E197" s="12">
        <v>44147</v>
      </c>
      <c r="F197" t="s">
        <v>124</v>
      </c>
    </row>
    <row r="198" spans="1:6" x14ac:dyDescent="0.3">
      <c r="A198" t="s">
        <v>849</v>
      </c>
      <c r="B198" t="s">
        <v>827</v>
      </c>
      <c r="C198" t="s">
        <v>124</v>
      </c>
      <c r="D198" s="12">
        <v>44117</v>
      </c>
      <c r="E198" s="12">
        <v>44147</v>
      </c>
      <c r="F198" t="s">
        <v>124</v>
      </c>
    </row>
    <row r="199" spans="1:6" x14ac:dyDescent="0.3">
      <c r="A199" t="s">
        <v>849</v>
      </c>
      <c r="B199" t="s">
        <v>823</v>
      </c>
      <c r="C199" t="s">
        <v>124</v>
      </c>
      <c r="D199" s="12">
        <v>44117</v>
      </c>
      <c r="E199" s="12">
        <v>44147</v>
      </c>
      <c r="F199" t="s">
        <v>124</v>
      </c>
    </row>
    <row r="200" spans="1:6" x14ac:dyDescent="0.3">
      <c r="A200" t="s">
        <v>849</v>
      </c>
      <c r="B200" t="s">
        <v>820</v>
      </c>
      <c r="C200" t="s">
        <v>124</v>
      </c>
      <c r="D200" s="12">
        <v>44117</v>
      </c>
      <c r="E200" s="12">
        <v>44147</v>
      </c>
      <c r="F200" t="s">
        <v>124</v>
      </c>
    </row>
    <row r="201" spans="1:6" x14ac:dyDescent="0.3">
      <c r="A201" t="s">
        <v>849</v>
      </c>
      <c r="B201" t="s">
        <v>819</v>
      </c>
      <c r="C201" t="s">
        <v>124</v>
      </c>
      <c r="D201" s="12">
        <v>44117</v>
      </c>
      <c r="E201" s="12">
        <v>44147</v>
      </c>
      <c r="F201" t="s">
        <v>124</v>
      </c>
    </row>
    <row r="202" spans="1:6" x14ac:dyDescent="0.3">
      <c r="A202" t="s">
        <v>849</v>
      </c>
      <c r="B202" t="s">
        <v>266</v>
      </c>
      <c r="C202" t="s">
        <v>124</v>
      </c>
      <c r="D202" s="12">
        <v>44117</v>
      </c>
      <c r="E202" s="12">
        <v>44147</v>
      </c>
      <c r="F202" t="s">
        <v>124</v>
      </c>
    </row>
    <row r="203" spans="1:6" x14ac:dyDescent="0.3">
      <c r="A203" t="s">
        <v>850</v>
      </c>
      <c r="B203" t="s">
        <v>814</v>
      </c>
      <c r="C203" t="s">
        <v>265</v>
      </c>
      <c r="D203" s="12">
        <v>44114</v>
      </c>
      <c r="E203" s="12">
        <v>44144</v>
      </c>
      <c r="F203" t="s">
        <v>265</v>
      </c>
    </row>
    <row r="204" spans="1:6" x14ac:dyDescent="0.3">
      <c r="A204" t="s">
        <v>850</v>
      </c>
      <c r="B204" t="s">
        <v>815</v>
      </c>
      <c r="C204" t="s">
        <v>265</v>
      </c>
      <c r="D204" s="12">
        <v>44114</v>
      </c>
      <c r="E204" s="12">
        <v>44144</v>
      </c>
      <c r="F204" t="s">
        <v>265</v>
      </c>
    </row>
    <row r="205" spans="1:6" x14ac:dyDescent="0.3">
      <c r="A205" t="s">
        <v>850</v>
      </c>
      <c r="B205" t="s">
        <v>816</v>
      </c>
      <c r="C205" t="s">
        <v>265</v>
      </c>
      <c r="D205" s="12">
        <v>44114</v>
      </c>
      <c r="E205" s="12">
        <v>44144</v>
      </c>
      <c r="F205" t="s">
        <v>265</v>
      </c>
    </row>
    <row r="206" spans="1:6" x14ac:dyDescent="0.3">
      <c r="A206" t="s">
        <v>850</v>
      </c>
      <c r="B206" t="s">
        <v>817</v>
      </c>
      <c r="C206" t="s">
        <v>265</v>
      </c>
      <c r="D206" s="12">
        <v>44114</v>
      </c>
      <c r="E206" s="12">
        <v>44144</v>
      </c>
      <c r="F206" t="s">
        <v>265</v>
      </c>
    </row>
    <row r="207" spans="1:6" x14ac:dyDescent="0.3">
      <c r="A207" t="s">
        <v>850</v>
      </c>
      <c r="B207" t="s">
        <v>818</v>
      </c>
      <c r="C207" t="s">
        <v>265</v>
      </c>
      <c r="D207" s="12">
        <v>44114</v>
      </c>
      <c r="E207" s="12">
        <v>44144</v>
      </c>
      <c r="F207" t="s">
        <v>265</v>
      </c>
    </row>
    <row r="208" spans="1:6" x14ac:dyDescent="0.3">
      <c r="A208" t="s">
        <v>850</v>
      </c>
      <c r="B208" t="s">
        <v>819</v>
      </c>
      <c r="C208" t="s">
        <v>265</v>
      </c>
      <c r="D208" s="12">
        <v>44114</v>
      </c>
      <c r="E208" s="12">
        <v>44144</v>
      </c>
      <c r="F208" t="s">
        <v>265</v>
      </c>
    </row>
    <row r="209" spans="1:6" x14ac:dyDescent="0.3">
      <c r="A209" t="s">
        <v>850</v>
      </c>
      <c r="B209" t="s">
        <v>820</v>
      </c>
      <c r="C209" t="s">
        <v>265</v>
      </c>
      <c r="D209" s="12">
        <v>44114</v>
      </c>
      <c r="E209" s="12">
        <v>44144</v>
      </c>
      <c r="F209" t="s">
        <v>265</v>
      </c>
    </row>
    <row r="210" spans="1:6" x14ac:dyDescent="0.3">
      <c r="A210" t="s">
        <v>850</v>
      </c>
      <c r="B210" t="s">
        <v>821</v>
      </c>
      <c r="C210" t="s">
        <v>265</v>
      </c>
      <c r="D210" s="12">
        <v>44114</v>
      </c>
      <c r="E210" s="12">
        <v>44144</v>
      </c>
      <c r="F210" t="s">
        <v>265</v>
      </c>
    </row>
    <row r="211" spans="1:6" x14ac:dyDescent="0.3">
      <c r="A211" t="s">
        <v>850</v>
      </c>
      <c r="B211" t="s">
        <v>822</v>
      </c>
      <c r="C211" t="s">
        <v>265</v>
      </c>
      <c r="D211" s="12">
        <v>44114</v>
      </c>
      <c r="E211" s="12">
        <v>44144</v>
      </c>
      <c r="F211" t="s">
        <v>265</v>
      </c>
    </row>
    <row r="212" spans="1:6" x14ac:dyDescent="0.3">
      <c r="A212" t="s">
        <v>850</v>
      </c>
      <c r="B212" t="s">
        <v>823</v>
      </c>
      <c r="C212" t="s">
        <v>265</v>
      </c>
      <c r="D212" s="12">
        <v>44114</v>
      </c>
      <c r="E212" s="12">
        <v>44144</v>
      </c>
      <c r="F212" t="s">
        <v>265</v>
      </c>
    </row>
    <row r="213" spans="1:6" x14ac:dyDescent="0.3">
      <c r="A213" t="s">
        <v>850</v>
      </c>
      <c r="B213" t="s">
        <v>827</v>
      </c>
      <c r="C213" t="s">
        <v>265</v>
      </c>
      <c r="D213" s="12">
        <v>44114</v>
      </c>
      <c r="E213" s="12">
        <v>44144</v>
      </c>
      <c r="F213" t="s">
        <v>265</v>
      </c>
    </row>
    <row r="214" spans="1:6" x14ac:dyDescent="0.3">
      <c r="A214" t="s">
        <v>850</v>
      </c>
      <c r="B214" t="s">
        <v>266</v>
      </c>
      <c r="C214" t="s">
        <v>265</v>
      </c>
      <c r="D214" s="12">
        <v>44114</v>
      </c>
      <c r="E214" s="12">
        <v>44144</v>
      </c>
      <c r="F214" t="s">
        <v>265</v>
      </c>
    </row>
    <row r="215" spans="1:6" x14ac:dyDescent="0.3">
      <c r="A215" t="s">
        <v>851</v>
      </c>
      <c r="B215" t="s">
        <v>814</v>
      </c>
      <c r="C215" t="s">
        <v>251</v>
      </c>
      <c r="D215" s="12">
        <v>44114</v>
      </c>
      <c r="E215" s="12">
        <v>44144</v>
      </c>
      <c r="F215" t="s">
        <v>251</v>
      </c>
    </row>
    <row r="216" spans="1:6" x14ac:dyDescent="0.3">
      <c r="A216" t="s">
        <v>851</v>
      </c>
      <c r="B216" t="s">
        <v>815</v>
      </c>
      <c r="C216" t="s">
        <v>251</v>
      </c>
      <c r="D216" s="12">
        <v>44114</v>
      </c>
      <c r="E216" s="12">
        <v>44144</v>
      </c>
      <c r="F216" t="s">
        <v>251</v>
      </c>
    </row>
    <row r="217" spans="1:6" x14ac:dyDescent="0.3">
      <c r="A217" t="s">
        <v>851</v>
      </c>
      <c r="B217" t="s">
        <v>816</v>
      </c>
      <c r="C217" t="s">
        <v>251</v>
      </c>
      <c r="D217" s="12">
        <v>44114</v>
      </c>
      <c r="E217" s="12">
        <v>44144</v>
      </c>
      <c r="F217" t="s">
        <v>251</v>
      </c>
    </row>
    <row r="218" spans="1:6" x14ac:dyDescent="0.3">
      <c r="A218" t="s">
        <v>851</v>
      </c>
      <c r="B218" t="s">
        <v>817</v>
      </c>
      <c r="C218" t="s">
        <v>251</v>
      </c>
      <c r="D218" s="12">
        <v>44114</v>
      </c>
      <c r="E218" s="12">
        <v>44144</v>
      </c>
      <c r="F218" t="s">
        <v>251</v>
      </c>
    </row>
    <row r="219" spans="1:6" x14ac:dyDescent="0.3">
      <c r="A219" t="s">
        <v>851</v>
      </c>
      <c r="B219" t="s">
        <v>818</v>
      </c>
      <c r="C219" t="s">
        <v>251</v>
      </c>
      <c r="D219" s="12">
        <v>44114</v>
      </c>
      <c r="E219" s="12">
        <v>44144</v>
      </c>
      <c r="F219" t="s">
        <v>251</v>
      </c>
    </row>
    <row r="220" spans="1:6" x14ac:dyDescent="0.3">
      <c r="A220" t="s">
        <v>851</v>
      </c>
      <c r="B220" t="s">
        <v>819</v>
      </c>
      <c r="C220" t="s">
        <v>251</v>
      </c>
      <c r="D220" s="12">
        <v>44114</v>
      </c>
      <c r="E220" s="12">
        <v>44144</v>
      </c>
      <c r="F220" t="s">
        <v>251</v>
      </c>
    </row>
    <row r="221" spans="1:6" x14ac:dyDescent="0.3">
      <c r="A221" t="s">
        <v>851</v>
      </c>
      <c r="B221" t="s">
        <v>820</v>
      </c>
      <c r="C221" t="s">
        <v>251</v>
      </c>
      <c r="D221" s="12">
        <v>44114</v>
      </c>
      <c r="E221" s="12">
        <v>44144</v>
      </c>
      <c r="F221" t="s">
        <v>251</v>
      </c>
    </row>
    <row r="222" spans="1:6" x14ac:dyDescent="0.3">
      <c r="A222" t="s">
        <v>851</v>
      </c>
      <c r="B222" t="s">
        <v>821</v>
      </c>
      <c r="C222" t="s">
        <v>251</v>
      </c>
      <c r="D222" s="12">
        <v>44114</v>
      </c>
      <c r="E222" s="12">
        <v>44144</v>
      </c>
      <c r="F222" t="s">
        <v>251</v>
      </c>
    </row>
    <row r="223" spans="1:6" x14ac:dyDescent="0.3">
      <c r="A223" t="s">
        <v>851</v>
      </c>
      <c r="B223" t="s">
        <v>822</v>
      </c>
      <c r="C223" t="s">
        <v>251</v>
      </c>
      <c r="D223" s="12">
        <v>44114</v>
      </c>
      <c r="E223" s="12">
        <v>44144</v>
      </c>
      <c r="F223" t="s">
        <v>251</v>
      </c>
    </row>
    <row r="224" spans="1:6" x14ac:dyDescent="0.3">
      <c r="A224" t="s">
        <v>851</v>
      </c>
      <c r="B224" t="s">
        <v>823</v>
      </c>
      <c r="C224" t="s">
        <v>251</v>
      </c>
      <c r="D224" s="12">
        <v>44114</v>
      </c>
      <c r="E224" s="12">
        <v>44144</v>
      </c>
      <c r="F224" t="s">
        <v>251</v>
      </c>
    </row>
    <row r="225" spans="1:6" x14ac:dyDescent="0.3">
      <c r="A225" t="s">
        <v>851</v>
      </c>
      <c r="B225" t="s">
        <v>266</v>
      </c>
      <c r="C225" t="s">
        <v>251</v>
      </c>
      <c r="D225" s="12">
        <v>44114</v>
      </c>
      <c r="E225" s="12">
        <v>44144</v>
      </c>
      <c r="F225" t="s">
        <v>251</v>
      </c>
    </row>
    <row r="226" spans="1:6" x14ac:dyDescent="0.3">
      <c r="A226" t="s">
        <v>852</v>
      </c>
      <c r="B226" t="s">
        <v>827</v>
      </c>
      <c r="C226" t="s">
        <v>209</v>
      </c>
      <c r="D226" s="12">
        <v>44114</v>
      </c>
      <c r="E226" s="12">
        <v>44144</v>
      </c>
      <c r="F226" t="s">
        <v>209</v>
      </c>
    </row>
    <row r="227" spans="1:6" x14ac:dyDescent="0.3">
      <c r="A227" t="s">
        <v>852</v>
      </c>
      <c r="B227" t="s">
        <v>814</v>
      </c>
      <c r="C227" t="s">
        <v>209</v>
      </c>
      <c r="D227" s="12">
        <v>44114</v>
      </c>
      <c r="E227" s="12">
        <v>44144</v>
      </c>
      <c r="F227" t="s">
        <v>209</v>
      </c>
    </row>
    <row r="228" spans="1:6" x14ac:dyDescent="0.3">
      <c r="A228" t="s">
        <v>852</v>
      </c>
      <c r="B228" t="s">
        <v>815</v>
      </c>
      <c r="C228" t="s">
        <v>209</v>
      </c>
      <c r="D228" s="12">
        <v>44114</v>
      </c>
      <c r="E228" s="12">
        <v>44144</v>
      </c>
      <c r="F228" t="s">
        <v>209</v>
      </c>
    </row>
    <row r="229" spans="1:6" x14ac:dyDescent="0.3">
      <c r="A229" t="s">
        <v>852</v>
      </c>
      <c r="B229" t="s">
        <v>816</v>
      </c>
      <c r="C229" t="s">
        <v>209</v>
      </c>
      <c r="D229" s="12">
        <v>44114</v>
      </c>
      <c r="E229" s="12">
        <v>44144</v>
      </c>
      <c r="F229" t="s">
        <v>209</v>
      </c>
    </row>
    <row r="230" spans="1:6" x14ac:dyDescent="0.3">
      <c r="A230" t="s">
        <v>852</v>
      </c>
      <c r="B230" t="s">
        <v>817</v>
      </c>
      <c r="C230" t="s">
        <v>209</v>
      </c>
      <c r="D230" s="12">
        <v>44114</v>
      </c>
      <c r="E230" s="12">
        <v>44144</v>
      </c>
      <c r="F230" t="s">
        <v>209</v>
      </c>
    </row>
    <row r="231" spans="1:6" x14ac:dyDescent="0.3">
      <c r="A231" t="s">
        <v>852</v>
      </c>
      <c r="B231" t="s">
        <v>818</v>
      </c>
      <c r="C231" t="s">
        <v>209</v>
      </c>
      <c r="D231" s="12">
        <v>44114</v>
      </c>
      <c r="E231" s="12">
        <v>44144</v>
      </c>
      <c r="F231" t="s">
        <v>209</v>
      </c>
    </row>
    <row r="232" spans="1:6" x14ac:dyDescent="0.3">
      <c r="A232" t="s">
        <v>852</v>
      </c>
      <c r="B232" t="s">
        <v>819</v>
      </c>
      <c r="C232" t="s">
        <v>209</v>
      </c>
      <c r="D232" s="12">
        <v>44114</v>
      </c>
      <c r="E232" s="12">
        <v>44144</v>
      </c>
      <c r="F232" t="s">
        <v>209</v>
      </c>
    </row>
    <row r="233" spans="1:6" x14ac:dyDescent="0.3">
      <c r="A233" t="s">
        <v>852</v>
      </c>
      <c r="B233" t="s">
        <v>820</v>
      </c>
      <c r="C233" t="s">
        <v>209</v>
      </c>
      <c r="D233" s="12">
        <v>44114</v>
      </c>
      <c r="E233" s="12">
        <v>44144</v>
      </c>
      <c r="F233" t="s">
        <v>209</v>
      </c>
    </row>
    <row r="234" spans="1:6" x14ac:dyDescent="0.3">
      <c r="A234" t="s">
        <v>852</v>
      </c>
      <c r="B234" t="s">
        <v>821</v>
      </c>
      <c r="C234" t="s">
        <v>209</v>
      </c>
      <c r="D234" s="12">
        <v>44114</v>
      </c>
      <c r="E234" s="12">
        <v>44144</v>
      </c>
      <c r="F234" t="s">
        <v>209</v>
      </c>
    </row>
    <row r="235" spans="1:6" x14ac:dyDescent="0.3">
      <c r="A235" t="s">
        <v>852</v>
      </c>
      <c r="B235" t="s">
        <v>822</v>
      </c>
      <c r="C235" t="s">
        <v>209</v>
      </c>
      <c r="D235" s="12">
        <v>44114</v>
      </c>
      <c r="E235" s="12">
        <v>44144</v>
      </c>
      <c r="F235" t="s">
        <v>209</v>
      </c>
    </row>
    <row r="236" spans="1:6" x14ac:dyDescent="0.3">
      <c r="A236" t="s">
        <v>852</v>
      </c>
      <c r="B236" t="s">
        <v>823</v>
      </c>
      <c r="C236" t="s">
        <v>209</v>
      </c>
      <c r="D236" s="12">
        <v>44114</v>
      </c>
      <c r="E236" s="12">
        <v>44144</v>
      </c>
      <c r="F236" t="s">
        <v>209</v>
      </c>
    </row>
    <row r="237" spans="1:6" x14ac:dyDescent="0.3">
      <c r="A237" t="s">
        <v>852</v>
      </c>
      <c r="B237" t="s">
        <v>266</v>
      </c>
      <c r="C237" t="s">
        <v>209</v>
      </c>
      <c r="D237" s="12">
        <v>44114</v>
      </c>
      <c r="E237" s="12">
        <v>44144</v>
      </c>
      <c r="F237" t="s">
        <v>209</v>
      </c>
    </row>
    <row r="238" spans="1:6" x14ac:dyDescent="0.3">
      <c r="A238" t="s">
        <v>853</v>
      </c>
      <c r="B238" t="s">
        <v>814</v>
      </c>
      <c r="C238" t="s">
        <v>63</v>
      </c>
      <c r="D238" s="12">
        <v>44116</v>
      </c>
      <c r="E238" s="12">
        <v>44146</v>
      </c>
      <c r="F238" t="s">
        <v>63</v>
      </c>
    </row>
    <row r="239" spans="1:6" x14ac:dyDescent="0.3">
      <c r="A239" t="s">
        <v>853</v>
      </c>
      <c r="B239" t="s">
        <v>815</v>
      </c>
      <c r="C239" t="s">
        <v>63</v>
      </c>
      <c r="D239" s="12">
        <v>44116</v>
      </c>
      <c r="E239" s="12">
        <v>44146</v>
      </c>
      <c r="F239" t="s">
        <v>63</v>
      </c>
    </row>
    <row r="240" spans="1:6" x14ac:dyDescent="0.3">
      <c r="A240" t="s">
        <v>853</v>
      </c>
      <c r="B240" t="s">
        <v>817</v>
      </c>
      <c r="C240" t="s">
        <v>63</v>
      </c>
      <c r="D240" s="12">
        <v>44116</v>
      </c>
      <c r="E240" s="12">
        <v>44146</v>
      </c>
      <c r="F240" t="s">
        <v>63</v>
      </c>
    </row>
    <row r="241" spans="1:6" x14ac:dyDescent="0.3">
      <c r="A241" t="s">
        <v>853</v>
      </c>
      <c r="B241" t="s">
        <v>818</v>
      </c>
      <c r="C241" t="s">
        <v>63</v>
      </c>
      <c r="D241" s="12">
        <v>44116</v>
      </c>
      <c r="E241" s="12">
        <v>44146</v>
      </c>
      <c r="F241" t="s">
        <v>63</v>
      </c>
    </row>
    <row r="242" spans="1:6" x14ac:dyDescent="0.3">
      <c r="A242" t="s">
        <v>853</v>
      </c>
      <c r="B242" t="s">
        <v>827</v>
      </c>
      <c r="C242" t="s">
        <v>63</v>
      </c>
      <c r="D242" s="12">
        <v>44116</v>
      </c>
      <c r="E242" s="12">
        <v>44146</v>
      </c>
      <c r="F242" t="s">
        <v>63</v>
      </c>
    </row>
    <row r="243" spans="1:6" x14ac:dyDescent="0.3">
      <c r="A243" t="s">
        <v>853</v>
      </c>
      <c r="B243" t="s">
        <v>820</v>
      </c>
      <c r="C243" t="s">
        <v>63</v>
      </c>
      <c r="D243" s="12">
        <v>44116</v>
      </c>
      <c r="E243" s="12">
        <v>44146</v>
      </c>
      <c r="F243" t="s">
        <v>63</v>
      </c>
    </row>
    <row r="244" spans="1:6" x14ac:dyDescent="0.3">
      <c r="A244" t="s">
        <v>853</v>
      </c>
      <c r="B244" t="s">
        <v>819</v>
      </c>
      <c r="C244" t="s">
        <v>63</v>
      </c>
      <c r="D244" s="12">
        <v>44116</v>
      </c>
      <c r="E244" s="12">
        <v>44146</v>
      </c>
      <c r="F244" t="s">
        <v>63</v>
      </c>
    </row>
    <row r="245" spans="1:6" x14ac:dyDescent="0.3">
      <c r="A245" t="s">
        <v>853</v>
      </c>
      <c r="B245" t="s">
        <v>266</v>
      </c>
      <c r="C245" t="s">
        <v>63</v>
      </c>
      <c r="D245" s="12">
        <v>44116</v>
      </c>
      <c r="E245" s="12">
        <v>44146</v>
      </c>
      <c r="F245" t="s">
        <v>63</v>
      </c>
    </row>
    <row r="246" spans="1:6" x14ac:dyDescent="0.3">
      <c r="A246" t="s">
        <v>854</v>
      </c>
      <c r="B246" t="s">
        <v>821</v>
      </c>
      <c r="C246" t="s">
        <v>264</v>
      </c>
      <c r="D246" s="12">
        <v>44129</v>
      </c>
      <c r="E246" s="12">
        <v>44159</v>
      </c>
      <c r="F246" t="s">
        <v>264</v>
      </c>
    </row>
    <row r="247" spans="1:6" x14ac:dyDescent="0.3">
      <c r="A247" t="s">
        <v>854</v>
      </c>
      <c r="B247" t="s">
        <v>820</v>
      </c>
      <c r="C247" t="s">
        <v>264</v>
      </c>
      <c r="D247" s="12">
        <v>44129</v>
      </c>
      <c r="E247" s="12">
        <v>44159</v>
      </c>
      <c r="F247" t="s">
        <v>264</v>
      </c>
    </row>
    <row r="248" spans="1:6" x14ac:dyDescent="0.3">
      <c r="A248" t="s">
        <v>854</v>
      </c>
      <c r="B248" t="s">
        <v>814</v>
      </c>
      <c r="C248" t="s">
        <v>855</v>
      </c>
      <c r="D248" s="12">
        <v>44133</v>
      </c>
      <c r="E248" s="12">
        <v>44139</v>
      </c>
      <c r="F248" t="s">
        <v>264</v>
      </c>
    </row>
    <row r="249" spans="1:6" x14ac:dyDescent="0.3">
      <c r="A249" t="s">
        <v>854</v>
      </c>
      <c r="B249" t="s">
        <v>822</v>
      </c>
      <c r="C249" t="s">
        <v>855</v>
      </c>
      <c r="D249" s="12">
        <v>44133</v>
      </c>
      <c r="E249" s="12">
        <v>44139</v>
      </c>
      <c r="F249" t="s">
        <v>264</v>
      </c>
    </row>
    <row r="250" spans="1:6" x14ac:dyDescent="0.3">
      <c r="A250" t="s">
        <v>854</v>
      </c>
      <c r="B250" t="s">
        <v>815</v>
      </c>
      <c r="C250" t="s">
        <v>855</v>
      </c>
      <c r="D250" s="12">
        <v>44133</v>
      </c>
      <c r="E250" s="12">
        <v>44139</v>
      </c>
      <c r="F250" t="s">
        <v>264</v>
      </c>
    </row>
    <row r="251" spans="1:6" x14ac:dyDescent="0.3">
      <c r="A251" t="s">
        <v>854</v>
      </c>
      <c r="B251" t="s">
        <v>817</v>
      </c>
      <c r="C251" t="s">
        <v>855</v>
      </c>
      <c r="D251" s="12">
        <v>44133</v>
      </c>
      <c r="E251" s="12">
        <v>44139</v>
      </c>
      <c r="F251" t="s">
        <v>264</v>
      </c>
    </row>
    <row r="252" spans="1:6" x14ac:dyDescent="0.3">
      <c r="A252" t="s">
        <v>854</v>
      </c>
      <c r="B252" t="s">
        <v>818</v>
      </c>
      <c r="C252" t="s">
        <v>855</v>
      </c>
      <c r="D252" s="12">
        <v>44133</v>
      </c>
      <c r="E252" s="12">
        <v>44139</v>
      </c>
      <c r="F252" t="s">
        <v>264</v>
      </c>
    </row>
    <row r="253" spans="1:6" x14ac:dyDescent="0.3">
      <c r="A253" t="s">
        <v>854</v>
      </c>
      <c r="B253" t="s">
        <v>816</v>
      </c>
      <c r="C253" t="s">
        <v>855</v>
      </c>
      <c r="D253" s="12">
        <v>44133</v>
      </c>
      <c r="E253" s="12">
        <v>44139</v>
      </c>
      <c r="F253" t="s">
        <v>264</v>
      </c>
    </row>
    <row r="254" spans="1:6" x14ac:dyDescent="0.3">
      <c r="A254" t="s">
        <v>854</v>
      </c>
      <c r="B254" t="s">
        <v>827</v>
      </c>
      <c r="C254" t="s">
        <v>855</v>
      </c>
      <c r="D254" s="12">
        <v>44133</v>
      </c>
      <c r="E254" s="12">
        <v>44139</v>
      </c>
      <c r="F254" t="s">
        <v>264</v>
      </c>
    </row>
    <row r="255" spans="1:6" x14ac:dyDescent="0.3">
      <c r="A255" t="s">
        <v>854</v>
      </c>
      <c r="B255" t="s">
        <v>823</v>
      </c>
      <c r="C255" t="s">
        <v>855</v>
      </c>
      <c r="D255" s="12">
        <v>44133</v>
      </c>
      <c r="E255" s="12">
        <v>44139</v>
      </c>
      <c r="F255" t="s">
        <v>264</v>
      </c>
    </row>
    <row r="256" spans="1:6" x14ac:dyDescent="0.3">
      <c r="A256" t="s">
        <v>854</v>
      </c>
      <c r="B256" t="s">
        <v>819</v>
      </c>
      <c r="C256" t="s">
        <v>855</v>
      </c>
      <c r="D256" s="12">
        <v>44133</v>
      </c>
      <c r="E256" s="12">
        <v>44139</v>
      </c>
      <c r="F256" t="s">
        <v>264</v>
      </c>
    </row>
    <row r="257" spans="1:6" x14ac:dyDescent="0.3">
      <c r="A257" t="s">
        <v>854</v>
      </c>
      <c r="B257" t="s">
        <v>266</v>
      </c>
      <c r="C257" t="s">
        <v>855</v>
      </c>
      <c r="D257" s="12">
        <v>44133</v>
      </c>
      <c r="E257" s="12">
        <v>44139</v>
      </c>
      <c r="F257" t="s">
        <v>264</v>
      </c>
    </row>
    <row r="258" spans="1:6" x14ac:dyDescent="0.3">
      <c r="A258" t="s">
        <v>854</v>
      </c>
      <c r="B258" t="s">
        <v>814</v>
      </c>
      <c r="C258" t="s">
        <v>856</v>
      </c>
      <c r="D258" s="12">
        <v>44154</v>
      </c>
      <c r="E258" s="12">
        <v>44160</v>
      </c>
      <c r="F258" t="s">
        <v>264</v>
      </c>
    </row>
    <row r="259" spans="1:6" x14ac:dyDescent="0.3">
      <c r="A259" t="s">
        <v>854</v>
      </c>
      <c r="B259" t="s">
        <v>822</v>
      </c>
      <c r="C259" t="s">
        <v>856</v>
      </c>
      <c r="D259" s="12">
        <v>44154</v>
      </c>
      <c r="E259" s="12">
        <v>44160</v>
      </c>
      <c r="F259" t="s">
        <v>264</v>
      </c>
    </row>
    <row r="260" spans="1:6" x14ac:dyDescent="0.3">
      <c r="A260" t="s">
        <v>854</v>
      </c>
      <c r="B260" t="s">
        <v>815</v>
      </c>
      <c r="C260" t="s">
        <v>856</v>
      </c>
      <c r="D260" s="12">
        <v>44154</v>
      </c>
      <c r="E260" s="12">
        <v>44160</v>
      </c>
      <c r="F260" t="s">
        <v>264</v>
      </c>
    </row>
    <row r="261" spans="1:6" x14ac:dyDescent="0.3">
      <c r="A261" t="s">
        <v>854</v>
      </c>
      <c r="B261" t="s">
        <v>817</v>
      </c>
      <c r="C261" t="s">
        <v>856</v>
      </c>
      <c r="D261" s="12">
        <v>44154</v>
      </c>
      <c r="E261" s="12">
        <v>44160</v>
      </c>
      <c r="F261" t="s">
        <v>264</v>
      </c>
    </row>
    <row r="262" spans="1:6" x14ac:dyDescent="0.3">
      <c r="A262" t="s">
        <v>854</v>
      </c>
      <c r="B262" t="s">
        <v>818</v>
      </c>
      <c r="C262" t="s">
        <v>856</v>
      </c>
      <c r="D262" s="12">
        <v>44154</v>
      </c>
      <c r="E262" s="12">
        <v>44160</v>
      </c>
      <c r="F262" t="s">
        <v>264</v>
      </c>
    </row>
    <row r="263" spans="1:6" x14ac:dyDescent="0.3">
      <c r="A263" t="s">
        <v>854</v>
      </c>
      <c r="B263" t="s">
        <v>816</v>
      </c>
      <c r="C263" t="s">
        <v>856</v>
      </c>
      <c r="D263" s="12">
        <v>44154</v>
      </c>
      <c r="E263" s="12">
        <v>44160</v>
      </c>
      <c r="F263" t="s">
        <v>264</v>
      </c>
    </row>
    <row r="264" spans="1:6" x14ac:dyDescent="0.3">
      <c r="A264" t="s">
        <v>854</v>
      </c>
      <c r="B264" t="s">
        <v>827</v>
      </c>
      <c r="C264" t="s">
        <v>856</v>
      </c>
      <c r="D264" s="12">
        <v>44154</v>
      </c>
      <c r="E264" s="12">
        <v>44160</v>
      </c>
      <c r="F264" t="s">
        <v>264</v>
      </c>
    </row>
    <row r="265" spans="1:6" x14ac:dyDescent="0.3">
      <c r="A265" t="s">
        <v>854</v>
      </c>
      <c r="B265" t="s">
        <v>823</v>
      </c>
      <c r="C265" t="s">
        <v>856</v>
      </c>
      <c r="D265" s="12">
        <v>44154</v>
      </c>
      <c r="E265" s="12">
        <v>44160</v>
      </c>
      <c r="F265" t="s">
        <v>264</v>
      </c>
    </row>
    <row r="266" spans="1:6" x14ac:dyDescent="0.3">
      <c r="A266" t="s">
        <v>854</v>
      </c>
      <c r="B266" t="s">
        <v>819</v>
      </c>
      <c r="C266" t="s">
        <v>856</v>
      </c>
      <c r="D266" s="12">
        <v>44154</v>
      </c>
      <c r="E266" s="12">
        <v>44160</v>
      </c>
      <c r="F266" t="s">
        <v>264</v>
      </c>
    </row>
    <row r="267" spans="1:6" x14ac:dyDescent="0.3">
      <c r="A267" t="s">
        <v>854</v>
      </c>
      <c r="B267" t="s">
        <v>266</v>
      </c>
      <c r="C267" t="s">
        <v>856</v>
      </c>
      <c r="D267" s="12">
        <v>44154</v>
      </c>
      <c r="E267" s="12">
        <v>44160</v>
      </c>
      <c r="F267" t="s">
        <v>264</v>
      </c>
    </row>
    <row r="268" spans="1:6" x14ac:dyDescent="0.3">
      <c r="A268" t="s">
        <v>854</v>
      </c>
      <c r="B268" t="s">
        <v>814</v>
      </c>
      <c r="C268" t="s">
        <v>857</v>
      </c>
      <c r="D268" s="12">
        <v>44140</v>
      </c>
      <c r="E268" s="12">
        <v>44146</v>
      </c>
      <c r="F268" t="s">
        <v>264</v>
      </c>
    </row>
    <row r="269" spans="1:6" x14ac:dyDescent="0.3">
      <c r="A269" t="s">
        <v>854</v>
      </c>
      <c r="B269" t="s">
        <v>822</v>
      </c>
      <c r="C269" t="s">
        <v>857</v>
      </c>
      <c r="D269" s="12">
        <v>44140</v>
      </c>
      <c r="E269" s="12">
        <v>44146</v>
      </c>
      <c r="F269" t="s">
        <v>264</v>
      </c>
    </row>
    <row r="270" spans="1:6" x14ac:dyDescent="0.3">
      <c r="A270" t="s">
        <v>854</v>
      </c>
      <c r="B270" t="s">
        <v>815</v>
      </c>
      <c r="C270" t="s">
        <v>857</v>
      </c>
      <c r="D270" s="12">
        <v>44140</v>
      </c>
      <c r="E270" s="12">
        <v>44146</v>
      </c>
      <c r="F270" t="s">
        <v>264</v>
      </c>
    </row>
    <row r="271" spans="1:6" x14ac:dyDescent="0.3">
      <c r="A271" t="s">
        <v>854</v>
      </c>
      <c r="B271" t="s">
        <v>817</v>
      </c>
      <c r="C271" t="s">
        <v>857</v>
      </c>
      <c r="D271" s="12">
        <v>44140</v>
      </c>
      <c r="E271" s="12">
        <v>44146</v>
      </c>
      <c r="F271" t="s">
        <v>264</v>
      </c>
    </row>
    <row r="272" spans="1:6" x14ac:dyDescent="0.3">
      <c r="A272" t="s">
        <v>854</v>
      </c>
      <c r="B272" t="s">
        <v>818</v>
      </c>
      <c r="C272" t="s">
        <v>857</v>
      </c>
      <c r="D272" s="12">
        <v>44140</v>
      </c>
      <c r="E272" s="12">
        <v>44146</v>
      </c>
      <c r="F272" t="s">
        <v>264</v>
      </c>
    </row>
    <row r="273" spans="1:6" x14ac:dyDescent="0.3">
      <c r="A273" t="s">
        <v>854</v>
      </c>
      <c r="B273" t="s">
        <v>816</v>
      </c>
      <c r="C273" t="s">
        <v>857</v>
      </c>
      <c r="D273" s="12">
        <v>44140</v>
      </c>
      <c r="E273" s="12">
        <v>44146</v>
      </c>
      <c r="F273" t="s">
        <v>264</v>
      </c>
    </row>
    <row r="274" spans="1:6" x14ac:dyDescent="0.3">
      <c r="A274" t="s">
        <v>854</v>
      </c>
      <c r="B274" t="s">
        <v>827</v>
      </c>
      <c r="C274" t="s">
        <v>857</v>
      </c>
      <c r="D274" s="12">
        <v>44140</v>
      </c>
      <c r="E274" s="12">
        <v>44146</v>
      </c>
      <c r="F274" t="s">
        <v>264</v>
      </c>
    </row>
    <row r="275" spans="1:6" x14ac:dyDescent="0.3">
      <c r="A275" t="s">
        <v>854</v>
      </c>
      <c r="B275" t="s">
        <v>823</v>
      </c>
      <c r="C275" t="s">
        <v>857</v>
      </c>
      <c r="D275" s="12">
        <v>44140</v>
      </c>
      <c r="E275" s="12">
        <v>44146</v>
      </c>
      <c r="F275" t="s">
        <v>264</v>
      </c>
    </row>
    <row r="276" spans="1:6" x14ac:dyDescent="0.3">
      <c r="A276" t="s">
        <v>854</v>
      </c>
      <c r="B276" t="s">
        <v>819</v>
      </c>
      <c r="C276" t="s">
        <v>857</v>
      </c>
      <c r="D276" s="12">
        <v>44140</v>
      </c>
      <c r="E276" s="12">
        <v>44146</v>
      </c>
      <c r="F276" t="s">
        <v>264</v>
      </c>
    </row>
    <row r="277" spans="1:6" x14ac:dyDescent="0.3">
      <c r="A277" t="s">
        <v>854</v>
      </c>
      <c r="B277" t="s">
        <v>266</v>
      </c>
      <c r="C277" t="s">
        <v>857</v>
      </c>
      <c r="D277" s="12">
        <v>44140</v>
      </c>
      <c r="E277" s="12">
        <v>44146</v>
      </c>
      <c r="F277" t="s">
        <v>264</v>
      </c>
    </row>
    <row r="278" spans="1:6" x14ac:dyDescent="0.3">
      <c r="A278" t="s">
        <v>854</v>
      </c>
      <c r="B278" t="s">
        <v>814</v>
      </c>
      <c r="C278" t="s">
        <v>858</v>
      </c>
      <c r="D278" s="12">
        <v>44147</v>
      </c>
      <c r="E278" s="12">
        <v>44153</v>
      </c>
      <c r="F278" t="s">
        <v>264</v>
      </c>
    </row>
    <row r="279" spans="1:6" x14ac:dyDescent="0.3">
      <c r="A279" t="s">
        <v>854</v>
      </c>
      <c r="B279" t="s">
        <v>822</v>
      </c>
      <c r="C279" t="s">
        <v>858</v>
      </c>
      <c r="D279" s="12">
        <v>44147</v>
      </c>
      <c r="E279" s="12">
        <v>44153</v>
      </c>
      <c r="F279" t="s">
        <v>264</v>
      </c>
    </row>
    <row r="280" spans="1:6" x14ac:dyDescent="0.3">
      <c r="A280" t="s">
        <v>854</v>
      </c>
      <c r="B280" t="s">
        <v>815</v>
      </c>
      <c r="C280" t="s">
        <v>858</v>
      </c>
      <c r="D280" s="12">
        <v>44147</v>
      </c>
      <c r="E280" s="12">
        <v>44153</v>
      </c>
      <c r="F280" t="s">
        <v>264</v>
      </c>
    </row>
    <row r="281" spans="1:6" x14ac:dyDescent="0.3">
      <c r="A281" t="s">
        <v>854</v>
      </c>
      <c r="B281" t="s">
        <v>817</v>
      </c>
      <c r="C281" t="s">
        <v>858</v>
      </c>
      <c r="D281" s="12">
        <v>44147</v>
      </c>
      <c r="E281" s="12">
        <v>44153</v>
      </c>
      <c r="F281" t="s">
        <v>264</v>
      </c>
    </row>
    <row r="282" spans="1:6" x14ac:dyDescent="0.3">
      <c r="A282" t="s">
        <v>854</v>
      </c>
      <c r="B282" t="s">
        <v>818</v>
      </c>
      <c r="C282" t="s">
        <v>858</v>
      </c>
      <c r="D282" s="12">
        <v>44147</v>
      </c>
      <c r="E282" s="12">
        <v>44153</v>
      </c>
      <c r="F282" t="s">
        <v>264</v>
      </c>
    </row>
    <row r="283" spans="1:6" x14ac:dyDescent="0.3">
      <c r="A283" t="s">
        <v>854</v>
      </c>
      <c r="B283" t="s">
        <v>816</v>
      </c>
      <c r="C283" t="s">
        <v>858</v>
      </c>
      <c r="D283" s="12">
        <v>44147</v>
      </c>
      <c r="E283" s="12">
        <v>44153</v>
      </c>
      <c r="F283" t="s">
        <v>264</v>
      </c>
    </row>
    <row r="284" spans="1:6" x14ac:dyDescent="0.3">
      <c r="A284" t="s">
        <v>854</v>
      </c>
      <c r="B284" t="s">
        <v>827</v>
      </c>
      <c r="C284" t="s">
        <v>858</v>
      </c>
      <c r="D284" s="12">
        <v>44147</v>
      </c>
      <c r="E284" s="12">
        <v>44153</v>
      </c>
      <c r="F284" t="s">
        <v>264</v>
      </c>
    </row>
    <row r="285" spans="1:6" x14ac:dyDescent="0.3">
      <c r="A285" t="s">
        <v>854</v>
      </c>
      <c r="B285" t="s">
        <v>823</v>
      </c>
      <c r="C285" t="s">
        <v>858</v>
      </c>
      <c r="D285" s="12">
        <v>44147</v>
      </c>
      <c r="E285" s="12">
        <v>44153</v>
      </c>
      <c r="F285" t="s">
        <v>264</v>
      </c>
    </row>
    <row r="286" spans="1:6" x14ac:dyDescent="0.3">
      <c r="A286" t="s">
        <v>854</v>
      </c>
      <c r="B286" t="s">
        <v>819</v>
      </c>
      <c r="C286" t="s">
        <v>858</v>
      </c>
      <c r="D286" s="12">
        <v>44147</v>
      </c>
      <c r="E286" s="12">
        <v>44153</v>
      </c>
      <c r="F286" t="s">
        <v>264</v>
      </c>
    </row>
    <row r="287" spans="1:6" x14ac:dyDescent="0.3">
      <c r="A287" t="s">
        <v>854</v>
      </c>
      <c r="B287" t="s">
        <v>266</v>
      </c>
      <c r="C287" t="s">
        <v>858</v>
      </c>
      <c r="D287" s="12">
        <v>44147</v>
      </c>
      <c r="E287" s="12">
        <v>44153</v>
      </c>
      <c r="F287" t="s">
        <v>264</v>
      </c>
    </row>
    <row r="288" spans="1:6" x14ac:dyDescent="0.3">
      <c r="A288" t="s">
        <v>859</v>
      </c>
      <c r="B288" t="s">
        <v>814</v>
      </c>
      <c r="C288" t="s">
        <v>110</v>
      </c>
      <c r="D288" s="12">
        <v>44114</v>
      </c>
      <c r="E288" s="12">
        <v>44144</v>
      </c>
      <c r="F288" t="s">
        <v>110</v>
      </c>
    </row>
    <row r="289" spans="1:6" x14ac:dyDescent="0.3">
      <c r="A289" t="s">
        <v>859</v>
      </c>
      <c r="B289" t="s">
        <v>815</v>
      </c>
      <c r="C289" t="s">
        <v>110</v>
      </c>
      <c r="D289" s="12">
        <v>44114</v>
      </c>
      <c r="E289" s="12">
        <v>44144</v>
      </c>
      <c r="F289" t="s">
        <v>110</v>
      </c>
    </row>
    <row r="290" spans="1:6" x14ac:dyDescent="0.3">
      <c r="A290" t="s">
        <v>859</v>
      </c>
      <c r="B290" t="s">
        <v>816</v>
      </c>
      <c r="C290" t="s">
        <v>110</v>
      </c>
      <c r="D290" s="12">
        <v>44114</v>
      </c>
      <c r="E290" s="12">
        <v>44144</v>
      </c>
      <c r="F290" t="s">
        <v>110</v>
      </c>
    </row>
    <row r="291" spans="1:6" x14ac:dyDescent="0.3">
      <c r="A291" t="s">
        <v>859</v>
      </c>
      <c r="B291" t="s">
        <v>817</v>
      </c>
      <c r="C291" t="s">
        <v>110</v>
      </c>
      <c r="D291" s="12">
        <v>44114</v>
      </c>
      <c r="E291" s="12">
        <v>44144</v>
      </c>
      <c r="F291" t="s">
        <v>110</v>
      </c>
    </row>
    <row r="292" spans="1:6" x14ac:dyDescent="0.3">
      <c r="A292" t="s">
        <v>859</v>
      </c>
      <c r="B292" t="s">
        <v>818</v>
      </c>
      <c r="C292" t="s">
        <v>110</v>
      </c>
      <c r="D292" s="12">
        <v>44114</v>
      </c>
      <c r="E292" s="12">
        <v>44144</v>
      </c>
      <c r="F292" t="s">
        <v>110</v>
      </c>
    </row>
    <row r="293" spans="1:6" x14ac:dyDescent="0.3">
      <c r="A293" t="s">
        <v>859</v>
      </c>
      <c r="B293" t="s">
        <v>819</v>
      </c>
      <c r="C293" t="s">
        <v>110</v>
      </c>
      <c r="D293" s="12">
        <v>44114</v>
      </c>
      <c r="E293" s="12">
        <v>44144</v>
      </c>
      <c r="F293" t="s">
        <v>110</v>
      </c>
    </row>
    <row r="294" spans="1:6" x14ac:dyDescent="0.3">
      <c r="A294" t="s">
        <v>859</v>
      </c>
      <c r="B294" t="s">
        <v>820</v>
      </c>
      <c r="C294" t="s">
        <v>110</v>
      </c>
      <c r="D294" s="12">
        <v>44114</v>
      </c>
      <c r="E294" s="12">
        <v>44144</v>
      </c>
      <c r="F294" t="s">
        <v>110</v>
      </c>
    </row>
    <row r="295" spans="1:6" x14ac:dyDescent="0.3">
      <c r="A295" t="s">
        <v>859</v>
      </c>
      <c r="B295" t="s">
        <v>821</v>
      </c>
      <c r="C295" t="s">
        <v>110</v>
      </c>
      <c r="D295" s="12">
        <v>44114</v>
      </c>
      <c r="E295" s="12">
        <v>44144</v>
      </c>
      <c r="F295" t="s">
        <v>110</v>
      </c>
    </row>
    <row r="296" spans="1:6" x14ac:dyDescent="0.3">
      <c r="A296" t="s">
        <v>859</v>
      </c>
      <c r="B296" t="s">
        <v>822</v>
      </c>
      <c r="C296" t="s">
        <v>110</v>
      </c>
      <c r="D296" s="12">
        <v>44114</v>
      </c>
      <c r="E296" s="12">
        <v>44144</v>
      </c>
      <c r="F296" t="s">
        <v>110</v>
      </c>
    </row>
    <row r="297" spans="1:6" x14ac:dyDescent="0.3">
      <c r="A297" t="s">
        <v>859</v>
      </c>
      <c r="B297" t="s">
        <v>823</v>
      </c>
      <c r="C297" t="s">
        <v>110</v>
      </c>
      <c r="D297" s="12">
        <v>44114</v>
      </c>
      <c r="E297" s="12">
        <v>44144</v>
      </c>
      <c r="F297" t="s">
        <v>110</v>
      </c>
    </row>
    <row r="298" spans="1:6" x14ac:dyDescent="0.3">
      <c r="A298" t="s">
        <v>859</v>
      </c>
      <c r="B298" t="s">
        <v>266</v>
      </c>
      <c r="C298" t="s">
        <v>110</v>
      </c>
      <c r="D298" s="12">
        <v>44114</v>
      </c>
      <c r="E298" s="12">
        <v>44144</v>
      </c>
      <c r="F298" t="s">
        <v>110</v>
      </c>
    </row>
    <row r="299" spans="1:6" x14ac:dyDescent="0.3">
      <c r="A299" t="s">
        <v>860</v>
      </c>
      <c r="B299" t="s">
        <v>827</v>
      </c>
      <c r="C299" t="s">
        <v>210</v>
      </c>
      <c r="D299" s="12">
        <v>44105</v>
      </c>
      <c r="E299" s="12">
        <v>44135</v>
      </c>
      <c r="F299" t="s">
        <v>210</v>
      </c>
    </row>
    <row r="300" spans="1:6" x14ac:dyDescent="0.3">
      <c r="A300" t="s">
        <v>860</v>
      </c>
      <c r="B300" t="s">
        <v>814</v>
      </c>
      <c r="C300" t="s">
        <v>210</v>
      </c>
      <c r="D300" s="12">
        <v>44105</v>
      </c>
      <c r="E300" s="12">
        <v>44135</v>
      </c>
      <c r="F300" t="s">
        <v>210</v>
      </c>
    </row>
    <row r="301" spans="1:6" x14ac:dyDescent="0.3">
      <c r="A301" t="s">
        <v>860</v>
      </c>
      <c r="B301" t="s">
        <v>815</v>
      </c>
      <c r="C301" t="s">
        <v>210</v>
      </c>
      <c r="D301" s="12">
        <v>44105</v>
      </c>
      <c r="E301" s="12">
        <v>44135</v>
      </c>
      <c r="F301" t="s">
        <v>210</v>
      </c>
    </row>
    <row r="302" spans="1:6" x14ac:dyDescent="0.3">
      <c r="A302" t="s">
        <v>860</v>
      </c>
      <c r="B302" t="s">
        <v>816</v>
      </c>
      <c r="C302" t="s">
        <v>210</v>
      </c>
      <c r="D302" s="12">
        <v>44105</v>
      </c>
      <c r="E302" s="12">
        <v>44135</v>
      </c>
      <c r="F302" t="s">
        <v>210</v>
      </c>
    </row>
    <row r="303" spans="1:6" x14ac:dyDescent="0.3">
      <c r="A303" t="s">
        <v>860</v>
      </c>
      <c r="B303" t="s">
        <v>817</v>
      </c>
      <c r="C303" t="s">
        <v>210</v>
      </c>
      <c r="D303" s="12">
        <v>44105</v>
      </c>
      <c r="E303" s="12">
        <v>44135</v>
      </c>
      <c r="F303" t="s">
        <v>210</v>
      </c>
    </row>
    <row r="304" spans="1:6" x14ac:dyDescent="0.3">
      <c r="A304" t="s">
        <v>860</v>
      </c>
      <c r="B304" t="s">
        <v>818</v>
      </c>
      <c r="C304" t="s">
        <v>210</v>
      </c>
      <c r="D304" s="12">
        <v>44105</v>
      </c>
      <c r="E304" s="12">
        <v>44135</v>
      </c>
      <c r="F304" t="s">
        <v>210</v>
      </c>
    </row>
    <row r="305" spans="1:6" x14ac:dyDescent="0.3">
      <c r="A305" t="s">
        <v>860</v>
      </c>
      <c r="B305" t="s">
        <v>819</v>
      </c>
      <c r="C305" t="s">
        <v>210</v>
      </c>
      <c r="D305" s="12">
        <v>44105</v>
      </c>
      <c r="E305" s="12">
        <v>44135</v>
      </c>
      <c r="F305" t="s">
        <v>210</v>
      </c>
    </row>
    <row r="306" spans="1:6" x14ac:dyDescent="0.3">
      <c r="A306" t="s">
        <v>860</v>
      </c>
      <c r="B306" t="s">
        <v>820</v>
      </c>
      <c r="C306" t="s">
        <v>210</v>
      </c>
      <c r="D306" s="12">
        <v>44105</v>
      </c>
      <c r="E306" s="12">
        <v>44135</v>
      </c>
      <c r="F306" t="s">
        <v>210</v>
      </c>
    </row>
    <row r="307" spans="1:6" x14ac:dyDescent="0.3">
      <c r="A307" t="s">
        <v>860</v>
      </c>
      <c r="B307" t="s">
        <v>821</v>
      </c>
      <c r="C307" t="s">
        <v>210</v>
      </c>
      <c r="D307" s="12">
        <v>44105</v>
      </c>
      <c r="E307" s="12">
        <v>44135</v>
      </c>
      <c r="F307" t="s">
        <v>210</v>
      </c>
    </row>
    <row r="308" spans="1:6" x14ac:dyDescent="0.3">
      <c r="A308" t="s">
        <v>860</v>
      </c>
      <c r="B308" t="s">
        <v>822</v>
      </c>
      <c r="C308" t="s">
        <v>210</v>
      </c>
      <c r="D308" s="12">
        <v>44105</v>
      </c>
      <c r="E308" s="12">
        <v>44135</v>
      </c>
      <c r="F308" t="s">
        <v>210</v>
      </c>
    </row>
    <row r="309" spans="1:6" x14ac:dyDescent="0.3">
      <c r="A309" t="s">
        <v>860</v>
      </c>
      <c r="B309" t="s">
        <v>823</v>
      </c>
      <c r="C309" t="s">
        <v>210</v>
      </c>
      <c r="D309" s="12">
        <v>44105</v>
      </c>
      <c r="E309" s="12">
        <v>44135</v>
      </c>
      <c r="F309" t="s">
        <v>210</v>
      </c>
    </row>
    <row r="310" spans="1:6" x14ac:dyDescent="0.3">
      <c r="A310" t="s">
        <v>860</v>
      </c>
      <c r="B310" t="s">
        <v>266</v>
      </c>
      <c r="C310" t="s">
        <v>210</v>
      </c>
      <c r="D310" s="12">
        <v>44105</v>
      </c>
      <c r="E310" s="12">
        <v>44135</v>
      </c>
      <c r="F310" t="s">
        <v>210</v>
      </c>
    </row>
    <row r="311" spans="1:6" x14ac:dyDescent="0.3">
      <c r="A311" t="s">
        <v>861</v>
      </c>
      <c r="B311" t="s">
        <v>827</v>
      </c>
      <c r="C311" t="s">
        <v>862</v>
      </c>
      <c r="D311" s="12">
        <v>44136</v>
      </c>
      <c r="E311" s="12">
        <v>44165</v>
      </c>
      <c r="F311" t="s">
        <v>862</v>
      </c>
    </row>
    <row r="312" spans="1:6" x14ac:dyDescent="0.3">
      <c r="A312" t="s">
        <v>861</v>
      </c>
      <c r="B312" t="s">
        <v>814</v>
      </c>
      <c r="C312" t="s">
        <v>862</v>
      </c>
      <c r="D312" s="12">
        <v>44136</v>
      </c>
      <c r="E312" s="12">
        <v>44165</v>
      </c>
      <c r="F312" t="s">
        <v>862</v>
      </c>
    </row>
    <row r="313" spans="1:6" x14ac:dyDescent="0.3">
      <c r="A313" t="s">
        <v>861</v>
      </c>
      <c r="B313" t="s">
        <v>815</v>
      </c>
      <c r="C313" t="s">
        <v>862</v>
      </c>
      <c r="D313" s="12">
        <v>44136</v>
      </c>
      <c r="E313" s="12">
        <v>44165</v>
      </c>
      <c r="F313" t="s">
        <v>862</v>
      </c>
    </row>
    <row r="314" spans="1:6" x14ac:dyDescent="0.3">
      <c r="A314" t="s">
        <v>861</v>
      </c>
      <c r="B314" t="s">
        <v>816</v>
      </c>
      <c r="C314" t="s">
        <v>862</v>
      </c>
      <c r="D314" s="12">
        <v>44136</v>
      </c>
      <c r="E314" s="12">
        <v>44165</v>
      </c>
      <c r="F314" t="s">
        <v>862</v>
      </c>
    </row>
    <row r="315" spans="1:6" x14ac:dyDescent="0.3">
      <c r="A315" t="s">
        <v>861</v>
      </c>
      <c r="B315" t="s">
        <v>817</v>
      </c>
      <c r="C315" t="s">
        <v>862</v>
      </c>
      <c r="D315" s="12">
        <v>44136</v>
      </c>
      <c r="E315" s="12">
        <v>44165</v>
      </c>
      <c r="F315" t="s">
        <v>862</v>
      </c>
    </row>
    <row r="316" spans="1:6" x14ac:dyDescent="0.3">
      <c r="A316" t="s">
        <v>861</v>
      </c>
      <c r="B316" t="s">
        <v>818</v>
      </c>
      <c r="C316" t="s">
        <v>862</v>
      </c>
      <c r="D316" s="12">
        <v>44136</v>
      </c>
      <c r="E316" s="12">
        <v>44165</v>
      </c>
      <c r="F316" t="s">
        <v>862</v>
      </c>
    </row>
    <row r="317" spans="1:6" x14ac:dyDescent="0.3">
      <c r="A317" t="s">
        <v>861</v>
      </c>
      <c r="B317" t="s">
        <v>819</v>
      </c>
      <c r="C317" t="s">
        <v>862</v>
      </c>
      <c r="D317" s="12">
        <v>44136</v>
      </c>
      <c r="E317" s="12">
        <v>44165</v>
      </c>
      <c r="F317" t="s">
        <v>862</v>
      </c>
    </row>
    <row r="318" spans="1:6" x14ac:dyDescent="0.3">
      <c r="A318" t="s">
        <v>861</v>
      </c>
      <c r="B318" t="s">
        <v>820</v>
      </c>
      <c r="C318" t="s">
        <v>862</v>
      </c>
      <c r="D318" s="12">
        <v>44136</v>
      </c>
      <c r="E318" s="12">
        <v>44165</v>
      </c>
      <c r="F318" t="s">
        <v>862</v>
      </c>
    </row>
    <row r="319" spans="1:6" x14ac:dyDescent="0.3">
      <c r="A319" t="s">
        <v>861</v>
      </c>
      <c r="B319" t="s">
        <v>821</v>
      </c>
      <c r="C319" t="s">
        <v>862</v>
      </c>
      <c r="D319" s="12">
        <v>44136</v>
      </c>
      <c r="E319" s="12">
        <v>44165</v>
      </c>
      <c r="F319" t="s">
        <v>862</v>
      </c>
    </row>
    <row r="320" spans="1:6" x14ac:dyDescent="0.3">
      <c r="A320" t="s">
        <v>861</v>
      </c>
      <c r="B320" t="s">
        <v>822</v>
      </c>
      <c r="C320" t="s">
        <v>862</v>
      </c>
      <c r="D320" s="12">
        <v>44136</v>
      </c>
      <c r="E320" s="12">
        <v>44165</v>
      </c>
      <c r="F320" t="s">
        <v>862</v>
      </c>
    </row>
    <row r="321" spans="1:6" x14ac:dyDescent="0.3">
      <c r="A321" t="s">
        <v>861</v>
      </c>
      <c r="B321" t="s">
        <v>823</v>
      </c>
      <c r="C321" t="s">
        <v>862</v>
      </c>
      <c r="D321" s="12">
        <v>44136</v>
      </c>
      <c r="E321" s="12">
        <v>44165</v>
      </c>
      <c r="F321" t="s">
        <v>862</v>
      </c>
    </row>
    <row r="322" spans="1:6" x14ac:dyDescent="0.3">
      <c r="A322" t="s">
        <v>861</v>
      </c>
      <c r="B322" t="s">
        <v>266</v>
      </c>
      <c r="C322" t="s">
        <v>862</v>
      </c>
      <c r="D322" s="12">
        <v>44136</v>
      </c>
      <c r="E322" s="12">
        <v>44165</v>
      </c>
      <c r="F322" t="s">
        <v>862</v>
      </c>
    </row>
    <row r="323" spans="1:6" x14ac:dyDescent="0.3">
      <c r="A323" t="s">
        <v>863</v>
      </c>
      <c r="B323" t="s">
        <v>814</v>
      </c>
      <c r="C323" t="s">
        <v>106</v>
      </c>
      <c r="D323" s="12">
        <v>44122</v>
      </c>
      <c r="E323" s="12">
        <v>44152</v>
      </c>
      <c r="F323" t="s">
        <v>864</v>
      </c>
    </row>
    <row r="324" spans="1:6" x14ac:dyDescent="0.3">
      <c r="A324" t="s">
        <v>863</v>
      </c>
      <c r="B324" t="s">
        <v>816</v>
      </c>
      <c r="C324" t="s">
        <v>106</v>
      </c>
      <c r="D324" s="12">
        <v>44122</v>
      </c>
      <c r="E324" s="12">
        <v>44152</v>
      </c>
      <c r="F324" t="s">
        <v>864</v>
      </c>
    </row>
    <row r="325" spans="1:6" x14ac:dyDescent="0.3">
      <c r="A325" t="s">
        <v>863</v>
      </c>
      <c r="B325" t="s">
        <v>820</v>
      </c>
      <c r="C325" t="s">
        <v>106</v>
      </c>
      <c r="D325" s="12">
        <v>44122</v>
      </c>
      <c r="E325" s="12">
        <v>44152</v>
      </c>
      <c r="F325" t="s">
        <v>864</v>
      </c>
    </row>
    <row r="326" spans="1:6" x14ac:dyDescent="0.3">
      <c r="A326" t="s">
        <v>863</v>
      </c>
      <c r="B326" t="s">
        <v>819</v>
      </c>
      <c r="C326" t="s">
        <v>106</v>
      </c>
      <c r="D326" s="12">
        <v>44122</v>
      </c>
      <c r="E326" s="12">
        <v>44152</v>
      </c>
      <c r="F326" t="s">
        <v>864</v>
      </c>
    </row>
    <row r="327" spans="1:6" x14ac:dyDescent="0.3">
      <c r="A327" t="s">
        <v>863</v>
      </c>
      <c r="B327" t="s">
        <v>266</v>
      </c>
      <c r="C327" t="s">
        <v>106</v>
      </c>
      <c r="D327" s="12">
        <v>44122</v>
      </c>
      <c r="E327" s="12">
        <v>44152</v>
      </c>
      <c r="F327" t="s">
        <v>864</v>
      </c>
    </row>
    <row r="328" spans="1:6" x14ac:dyDescent="0.3">
      <c r="A328" t="s">
        <v>865</v>
      </c>
      <c r="B328" t="s">
        <v>821</v>
      </c>
      <c r="C328" t="s">
        <v>71</v>
      </c>
      <c r="D328" s="12">
        <v>44119</v>
      </c>
      <c r="E328" s="12">
        <v>44149</v>
      </c>
      <c r="F328" t="s">
        <v>71</v>
      </c>
    </row>
    <row r="329" spans="1:6" x14ac:dyDescent="0.3">
      <c r="A329" t="s">
        <v>865</v>
      </c>
      <c r="B329" t="s">
        <v>822</v>
      </c>
      <c r="C329" t="s">
        <v>71</v>
      </c>
      <c r="D329" s="12">
        <v>44119</v>
      </c>
      <c r="E329" s="12">
        <v>44149</v>
      </c>
      <c r="F329" t="s">
        <v>71</v>
      </c>
    </row>
    <row r="330" spans="1:6" x14ac:dyDescent="0.3">
      <c r="A330" t="s">
        <v>866</v>
      </c>
      <c r="B330" t="s">
        <v>823</v>
      </c>
      <c r="C330" t="s">
        <v>71</v>
      </c>
      <c r="D330" s="12">
        <v>44119</v>
      </c>
      <c r="E330" s="12">
        <v>44149</v>
      </c>
      <c r="F330" t="s">
        <v>71</v>
      </c>
    </row>
    <row r="331" spans="1:6" x14ac:dyDescent="0.3">
      <c r="A331" t="s">
        <v>824</v>
      </c>
      <c r="B331" t="s">
        <v>814</v>
      </c>
      <c r="C331" t="s">
        <v>91</v>
      </c>
      <c r="D331" s="12">
        <v>44129</v>
      </c>
      <c r="E331" s="12">
        <v>44159</v>
      </c>
      <c r="F331" t="s">
        <v>91</v>
      </c>
    </row>
    <row r="332" spans="1:6" x14ac:dyDescent="0.3">
      <c r="A332" t="s">
        <v>824</v>
      </c>
      <c r="B332" t="s">
        <v>815</v>
      </c>
      <c r="C332" t="s">
        <v>91</v>
      </c>
      <c r="D332" s="12">
        <v>44129</v>
      </c>
      <c r="E332" s="12">
        <v>44159</v>
      </c>
      <c r="F332" t="s">
        <v>91</v>
      </c>
    </row>
    <row r="333" spans="1:6" x14ac:dyDescent="0.3">
      <c r="A333" t="s">
        <v>824</v>
      </c>
      <c r="B333" t="s">
        <v>817</v>
      </c>
      <c r="C333" t="s">
        <v>91</v>
      </c>
      <c r="D333" s="12">
        <v>44129</v>
      </c>
      <c r="E333" s="12">
        <v>44159</v>
      </c>
      <c r="F333" t="s">
        <v>91</v>
      </c>
    </row>
    <row r="334" spans="1:6" x14ac:dyDescent="0.3">
      <c r="A334" t="s">
        <v>824</v>
      </c>
      <c r="B334" t="s">
        <v>818</v>
      </c>
      <c r="C334" t="s">
        <v>91</v>
      </c>
      <c r="D334" s="12">
        <v>44129</v>
      </c>
      <c r="E334" s="12">
        <v>44159</v>
      </c>
      <c r="F334" t="s">
        <v>91</v>
      </c>
    </row>
    <row r="335" spans="1:6" x14ac:dyDescent="0.3">
      <c r="A335" t="s">
        <v>824</v>
      </c>
      <c r="B335" t="s">
        <v>816</v>
      </c>
      <c r="C335" t="s">
        <v>91</v>
      </c>
      <c r="D335" s="12">
        <v>44129</v>
      </c>
      <c r="E335" s="12">
        <v>44159</v>
      </c>
      <c r="F335" t="s">
        <v>91</v>
      </c>
    </row>
    <row r="336" spans="1:6" x14ac:dyDescent="0.3">
      <c r="A336" t="s">
        <v>824</v>
      </c>
      <c r="B336" t="s">
        <v>820</v>
      </c>
      <c r="C336" t="s">
        <v>91</v>
      </c>
      <c r="D336" s="12">
        <v>44129</v>
      </c>
      <c r="E336" s="12">
        <v>44159</v>
      </c>
      <c r="F336" t="s">
        <v>91</v>
      </c>
    </row>
    <row r="337" spans="1:6" x14ac:dyDescent="0.3">
      <c r="A337" t="s">
        <v>824</v>
      </c>
      <c r="B337" t="s">
        <v>819</v>
      </c>
      <c r="C337" t="s">
        <v>91</v>
      </c>
      <c r="D337" s="12">
        <v>44129</v>
      </c>
      <c r="E337" s="12">
        <v>44159</v>
      </c>
      <c r="F337" t="s">
        <v>91</v>
      </c>
    </row>
    <row r="338" spans="1:6" x14ac:dyDescent="0.3">
      <c r="A338" t="s">
        <v>824</v>
      </c>
      <c r="B338" t="s">
        <v>266</v>
      </c>
      <c r="C338" t="s">
        <v>91</v>
      </c>
      <c r="D338" s="12">
        <v>44129</v>
      </c>
      <c r="E338" s="12">
        <v>44159</v>
      </c>
      <c r="F338" t="s">
        <v>91</v>
      </c>
    </row>
    <row r="339" spans="1:6" x14ac:dyDescent="0.3">
      <c r="A339" t="s">
        <v>869</v>
      </c>
      <c r="B339" t="s">
        <v>827</v>
      </c>
      <c r="C339" t="s">
        <v>10</v>
      </c>
      <c r="D339" s="12">
        <v>44110</v>
      </c>
      <c r="E339" s="12">
        <v>44139</v>
      </c>
      <c r="F339" t="s">
        <v>10</v>
      </c>
    </row>
    <row r="340" spans="1:6" x14ac:dyDescent="0.3">
      <c r="A340" t="s">
        <v>869</v>
      </c>
      <c r="B340" t="s">
        <v>814</v>
      </c>
      <c r="C340" t="s">
        <v>10</v>
      </c>
      <c r="D340" s="12">
        <v>44110</v>
      </c>
      <c r="E340" s="12">
        <v>44139</v>
      </c>
      <c r="F340" t="s">
        <v>10</v>
      </c>
    </row>
    <row r="341" spans="1:6" x14ac:dyDescent="0.3">
      <c r="A341" t="s">
        <v>869</v>
      </c>
      <c r="B341" t="s">
        <v>815</v>
      </c>
      <c r="C341" t="s">
        <v>10</v>
      </c>
      <c r="D341" s="12">
        <v>44110</v>
      </c>
      <c r="E341" s="12">
        <v>44139</v>
      </c>
      <c r="F341" t="s">
        <v>10</v>
      </c>
    </row>
    <row r="342" spans="1:6" x14ac:dyDescent="0.3">
      <c r="A342" t="s">
        <v>869</v>
      </c>
      <c r="B342" t="s">
        <v>816</v>
      </c>
      <c r="C342" t="s">
        <v>10</v>
      </c>
      <c r="D342" s="12">
        <v>44110</v>
      </c>
      <c r="E342" s="12">
        <v>44139</v>
      </c>
      <c r="F342" t="s">
        <v>10</v>
      </c>
    </row>
    <row r="343" spans="1:6" x14ac:dyDescent="0.3">
      <c r="A343" t="s">
        <v>869</v>
      </c>
      <c r="B343" t="s">
        <v>817</v>
      </c>
      <c r="C343" t="s">
        <v>10</v>
      </c>
      <c r="D343" s="12">
        <v>44110</v>
      </c>
      <c r="E343" s="12">
        <v>44139</v>
      </c>
      <c r="F343" t="s">
        <v>10</v>
      </c>
    </row>
    <row r="344" spans="1:6" x14ac:dyDescent="0.3">
      <c r="A344" t="s">
        <v>869</v>
      </c>
      <c r="B344" t="s">
        <v>818</v>
      </c>
      <c r="C344" t="s">
        <v>10</v>
      </c>
      <c r="D344" s="12">
        <v>44110</v>
      </c>
      <c r="E344" s="12">
        <v>44139</v>
      </c>
      <c r="F344" t="s">
        <v>10</v>
      </c>
    </row>
    <row r="345" spans="1:6" x14ac:dyDescent="0.3">
      <c r="A345" t="s">
        <v>869</v>
      </c>
      <c r="B345" t="s">
        <v>819</v>
      </c>
      <c r="C345" t="s">
        <v>10</v>
      </c>
      <c r="D345" s="12">
        <v>44110</v>
      </c>
      <c r="E345" s="12">
        <v>44139</v>
      </c>
      <c r="F345" t="s">
        <v>10</v>
      </c>
    </row>
    <row r="346" spans="1:6" x14ac:dyDescent="0.3">
      <c r="A346" t="s">
        <v>869</v>
      </c>
      <c r="B346" t="s">
        <v>820</v>
      </c>
      <c r="C346" t="s">
        <v>10</v>
      </c>
      <c r="D346" s="12">
        <v>44110</v>
      </c>
      <c r="E346" s="12">
        <v>44139</v>
      </c>
      <c r="F346" t="s">
        <v>10</v>
      </c>
    </row>
    <row r="347" spans="1:6" x14ac:dyDescent="0.3">
      <c r="A347" t="s">
        <v>869</v>
      </c>
      <c r="B347" t="s">
        <v>821</v>
      </c>
      <c r="C347" t="s">
        <v>10</v>
      </c>
      <c r="D347" s="12">
        <v>44110</v>
      </c>
      <c r="E347" s="12">
        <v>44139</v>
      </c>
      <c r="F347" t="s">
        <v>10</v>
      </c>
    </row>
    <row r="348" spans="1:6" x14ac:dyDescent="0.3">
      <c r="A348" t="s">
        <v>869</v>
      </c>
      <c r="B348" t="s">
        <v>822</v>
      </c>
      <c r="C348" t="s">
        <v>10</v>
      </c>
      <c r="D348" s="12">
        <v>44110</v>
      </c>
      <c r="E348" s="12">
        <v>44139</v>
      </c>
      <c r="F348" t="s">
        <v>10</v>
      </c>
    </row>
    <row r="349" spans="1:6" x14ac:dyDescent="0.3">
      <c r="A349" t="s">
        <v>869</v>
      </c>
      <c r="B349" t="s">
        <v>823</v>
      </c>
      <c r="C349" t="s">
        <v>10</v>
      </c>
      <c r="D349" s="12">
        <v>44110</v>
      </c>
      <c r="E349" s="12">
        <v>44139</v>
      </c>
      <c r="F349" t="s">
        <v>10</v>
      </c>
    </row>
    <row r="350" spans="1:6" x14ac:dyDescent="0.3">
      <c r="A350" t="s">
        <v>869</v>
      </c>
      <c r="B350" t="s">
        <v>266</v>
      </c>
      <c r="C350" t="s">
        <v>10</v>
      </c>
      <c r="D350" s="12">
        <v>44110</v>
      </c>
      <c r="E350" s="12">
        <v>44139</v>
      </c>
      <c r="F350" t="s">
        <v>10</v>
      </c>
    </row>
    <row r="351" spans="1:6" x14ac:dyDescent="0.3">
      <c r="A351" t="s">
        <v>845</v>
      </c>
      <c r="B351" t="s">
        <v>821</v>
      </c>
      <c r="C351" t="s">
        <v>101</v>
      </c>
      <c r="D351" s="12">
        <v>44122</v>
      </c>
      <c r="E351" s="12">
        <v>44152</v>
      </c>
      <c r="F351" t="s">
        <v>101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217F7-7126-470F-9A98-A3815FC3871D}">
  <sheetPr codeName="Sheet3"/>
  <dimension ref="A1:W1"/>
  <sheetViews>
    <sheetView workbookViewId="0">
      <selection activeCell="A2" sqref="A2"/>
    </sheetView>
  </sheetViews>
  <sheetFormatPr defaultRowHeight="14.4" x14ac:dyDescent="0.3"/>
  <cols>
    <col min="1" max="1" width="14" bestFit="1" customWidth="1"/>
    <col min="2" max="2" width="5.21875" bestFit="1" customWidth="1"/>
    <col min="3" max="3" width="14" bestFit="1" customWidth="1"/>
    <col min="4" max="4" width="6" bestFit="1" customWidth="1"/>
    <col min="5" max="5" width="18.5546875" bestFit="1" customWidth="1"/>
    <col min="6" max="6" width="13.88671875" bestFit="1" customWidth="1"/>
    <col min="7" max="7" width="9" bestFit="1" customWidth="1"/>
    <col min="8" max="8" width="20.5546875" bestFit="1" customWidth="1"/>
    <col min="9" max="9" width="21.5546875" bestFit="1" customWidth="1"/>
    <col min="10" max="10" width="6" bestFit="1" customWidth="1"/>
    <col min="11" max="11" width="15.109375" bestFit="1" customWidth="1"/>
    <col min="12" max="12" width="5.77734375" bestFit="1" customWidth="1"/>
    <col min="13" max="13" width="18.77734375" bestFit="1" customWidth="1"/>
    <col min="14" max="14" width="10.109375" bestFit="1" customWidth="1"/>
    <col min="15" max="15" width="25.77734375" bestFit="1" customWidth="1"/>
    <col min="16" max="16" width="11.33203125" bestFit="1" customWidth="1"/>
    <col min="17" max="17" width="10" bestFit="1" customWidth="1"/>
    <col min="18" max="18" width="4.88671875" bestFit="1" customWidth="1"/>
    <col min="19" max="19" width="21.5546875" bestFit="1" customWidth="1"/>
    <col min="20" max="20" width="11" bestFit="1" customWidth="1"/>
    <col min="21" max="21" width="10.33203125" style="10" bestFit="1" customWidth="1"/>
    <col min="22" max="22" width="13.109375" bestFit="1" customWidth="1"/>
    <col min="23" max="23" width="15.21875" bestFit="1" customWidth="1"/>
  </cols>
  <sheetData>
    <row r="1" spans="1:23" x14ac:dyDescent="0.3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</v>
      </c>
      <c r="I1" t="s">
        <v>23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P1" t="s">
        <v>30</v>
      </c>
      <c r="Q1" t="s">
        <v>3</v>
      </c>
      <c r="R1" t="s">
        <v>31</v>
      </c>
      <c r="S1" t="s">
        <v>32</v>
      </c>
      <c r="T1" t="s">
        <v>33</v>
      </c>
      <c r="U1" s="10" t="s">
        <v>34</v>
      </c>
      <c r="V1" t="s">
        <v>35</v>
      </c>
      <c r="W1" t="s">
        <v>254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A2BB8-FF4C-414F-90E2-889CC737F988}">
  <sheetPr codeName="Sheet4"/>
  <dimension ref="A1:O1"/>
  <sheetViews>
    <sheetView workbookViewId="0">
      <selection activeCell="A2" sqref="A2"/>
    </sheetView>
  </sheetViews>
  <sheetFormatPr defaultRowHeight="14.4" x14ac:dyDescent="0.3"/>
  <cols>
    <col min="1" max="1" width="14" bestFit="1" customWidth="1"/>
    <col min="2" max="2" width="5.44140625" bestFit="1" customWidth="1"/>
    <col min="3" max="3" width="14" bestFit="1" customWidth="1"/>
    <col min="4" max="4" width="6" bestFit="1" customWidth="1"/>
    <col min="5" max="5" width="18.21875" bestFit="1" customWidth="1"/>
    <col min="6" max="6" width="13.88671875" bestFit="1" customWidth="1"/>
    <col min="7" max="7" width="9" bestFit="1" customWidth="1"/>
    <col min="8" max="8" width="18.5546875" bestFit="1" customWidth="1"/>
    <col min="9" max="9" width="14.21875" bestFit="1" customWidth="1"/>
    <col min="10" max="10" width="6" bestFit="1" customWidth="1"/>
    <col min="11" max="11" width="15.109375" bestFit="1" customWidth="1"/>
    <col min="12" max="12" width="5.77734375" bestFit="1" customWidth="1"/>
    <col min="13" max="13" width="18.77734375" bestFit="1" customWidth="1"/>
    <col min="14" max="14" width="10.33203125" style="10" bestFit="1" customWidth="1"/>
    <col min="15" max="15" width="15.21875" style="10" bestFit="1" customWidth="1"/>
  </cols>
  <sheetData>
    <row r="1" spans="1:15" x14ac:dyDescent="0.3">
      <c r="A1" t="s">
        <v>16</v>
      </c>
      <c r="B1" t="s">
        <v>92</v>
      </c>
      <c r="C1" t="s">
        <v>18</v>
      </c>
      <c r="D1" t="s">
        <v>19</v>
      </c>
      <c r="E1" t="s">
        <v>20</v>
      </c>
      <c r="F1" t="s">
        <v>21</v>
      </c>
      <c r="G1" t="s">
        <v>122</v>
      </c>
      <c r="H1" t="s">
        <v>123</v>
      </c>
      <c r="I1" t="s">
        <v>23</v>
      </c>
      <c r="J1" t="s">
        <v>24</v>
      </c>
      <c r="K1" t="s">
        <v>25</v>
      </c>
      <c r="L1" t="s">
        <v>26</v>
      </c>
      <c r="M1" t="s">
        <v>27</v>
      </c>
      <c r="N1" s="10" t="s">
        <v>34</v>
      </c>
      <c r="O1" s="10" t="s">
        <v>254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DC0DD-217F-4471-B5C4-83252D8F3AAE}">
  <sheetPr codeName="Sheet9"/>
  <dimension ref="A1:X1"/>
  <sheetViews>
    <sheetView workbookViewId="0">
      <selection activeCell="A2" sqref="A2"/>
    </sheetView>
  </sheetViews>
  <sheetFormatPr defaultRowHeight="14.4" x14ac:dyDescent="0.3"/>
  <cols>
    <col min="1" max="1" width="14" bestFit="1" customWidth="1"/>
    <col min="2" max="2" width="5.44140625" bestFit="1" customWidth="1"/>
    <col min="3" max="3" width="14" bestFit="1" customWidth="1"/>
    <col min="4" max="4" width="6" bestFit="1" customWidth="1"/>
    <col min="5" max="5" width="19" bestFit="1" customWidth="1"/>
    <col min="6" max="6" width="13.88671875" bestFit="1" customWidth="1"/>
    <col min="7" max="7" width="9" bestFit="1" customWidth="1"/>
    <col min="8" max="8" width="26.6640625" bestFit="1" customWidth="1"/>
    <col min="9" max="9" width="30.5546875" bestFit="1" customWidth="1"/>
    <col min="10" max="10" width="6" bestFit="1" customWidth="1"/>
    <col min="11" max="11" width="15.109375" bestFit="1" customWidth="1"/>
    <col min="12" max="12" width="5.77734375" bestFit="1" customWidth="1"/>
    <col min="13" max="13" width="20.21875" bestFit="1" customWidth="1"/>
    <col min="14" max="14" width="10.33203125" bestFit="1" customWidth="1"/>
    <col min="15" max="15" width="28.44140625" bestFit="1" customWidth="1"/>
    <col min="16" max="16" width="6.5546875" bestFit="1" customWidth="1"/>
    <col min="17" max="17" width="22.88671875" bestFit="1" customWidth="1"/>
    <col min="18" max="18" width="11.44140625" bestFit="1" customWidth="1"/>
    <col min="19" max="19" width="4.88671875" bestFit="1" customWidth="1"/>
    <col min="20" max="20" width="7.88671875" bestFit="1" customWidth="1"/>
    <col min="21" max="21" width="11" bestFit="1" customWidth="1"/>
    <col min="22" max="22" width="10.33203125" style="10" bestFit="1" customWidth="1"/>
    <col min="23" max="23" width="13.109375" bestFit="1" customWidth="1"/>
    <col min="24" max="24" width="15.21875" bestFit="1" customWidth="1"/>
    <col min="25" max="25" width="7" bestFit="1" customWidth="1"/>
  </cols>
  <sheetData>
    <row r="1" spans="1:24" x14ac:dyDescent="0.3">
      <c r="A1" t="s">
        <v>16</v>
      </c>
      <c r="B1" t="s">
        <v>92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</v>
      </c>
      <c r="I1" t="s">
        <v>1</v>
      </c>
      <c r="J1" t="s">
        <v>24</v>
      </c>
      <c r="K1" t="s">
        <v>25</v>
      </c>
      <c r="L1" t="s">
        <v>26</v>
      </c>
      <c r="M1" t="s">
        <v>27</v>
      </c>
      <c r="N1" t="s">
        <v>0</v>
      </c>
      <c r="O1" t="s">
        <v>93</v>
      </c>
      <c r="P1" t="s">
        <v>94</v>
      </c>
      <c r="Q1" t="s">
        <v>95</v>
      </c>
      <c r="R1" t="s">
        <v>3</v>
      </c>
      <c r="S1" t="s">
        <v>31</v>
      </c>
      <c r="T1" t="s">
        <v>96</v>
      </c>
      <c r="U1" t="s">
        <v>33</v>
      </c>
      <c r="V1" s="10" t="s">
        <v>34</v>
      </c>
      <c r="W1" t="s">
        <v>35</v>
      </c>
      <c r="X1" t="s">
        <v>254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941E6-E500-4668-BFC5-8A3D55AB2C6A}">
  <sheetPr codeName="Sheet11"/>
  <dimension ref="A1:AW1"/>
  <sheetViews>
    <sheetView workbookViewId="0">
      <selection activeCell="A2" sqref="A2"/>
    </sheetView>
  </sheetViews>
  <sheetFormatPr defaultRowHeight="14.4" x14ac:dyDescent="0.3"/>
  <cols>
    <col min="1" max="1" width="13.21875" bestFit="1" customWidth="1"/>
    <col min="2" max="2" width="5.44140625" bestFit="1" customWidth="1"/>
    <col min="3" max="3" width="14" bestFit="1" customWidth="1"/>
    <col min="4" max="4" width="6" bestFit="1" customWidth="1"/>
    <col min="5" max="5" width="18.21875" bestFit="1" customWidth="1"/>
    <col min="6" max="6" width="13.88671875" bestFit="1" customWidth="1"/>
    <col min="7" max="7" width="9" bestFit="1" customWidth="1"/>
    <col min="8" max="8" width="25.5546875" bestFit="1" customWidth="1"/>
    <col min="9" max="9" width="20.44140625" bestFit="1" customWidth="1"/>
    <col min="10" max="10" width="6" bestFit="1" customWidth="1"/>
    <col min="11" max="11" width="15.109375" bestFit="1" customWidth="1"/>
    <col min="12" max="12" width="5.77734375" bestFit="1" customWidth="1"/>
    <col min="13" max="13" width="19.44140625" bestFit="1" customWidth="1"/>
    <col min="14" max="14" width="11" bestFit="1" customWidth="1"/>
    <col min="15" max="15" width="14" bestFit="1" customWidth="1"/>
    <col min="16" max="16" width="31" bestFit="1" customWidth="1"/>
    <col min="17" max="18" width="10.33203125" bestFit="1" customWidth="1"/>
    <col min="19" max="19" width="10.33203125" style="10" bestFit="1" customWidth="1"/>
    <col min="20" max="20" width="11" bestFit="1" customWidth="1"/>
    <col min="21" max="21" width="26.21875" bestFit="1" customWidth="1"/>
    <col min="22" max="22" width="32.77734375" bestFit="1" customWidth="1"/>
    <col min="23" max="23" width="24.6640625" bestFit="1" customWidth="1"/>
    <col min="24" max="24" width="27.109375" bestFit="1" customWidth="1"/>
    <col min="25" max="25" width="34.5546875" bestFit="1" customWidth="1"/>
    <col min="26" max="26" width="10.6640625" bestFit="1" customWidth="1"/>
    <col min="27" max="27" width="22.77734375" bestFit="1" customWidth="1"/>
    <col min="28" max="28" width="25.21875" bestFit="1" customWidth="1"/>
    <col min="29" max="29" width="13.109375" bestFit="1" customWidth="1"/>
    <col min="30" max="30" width="55.33203125" bestFit="1" customWidth="1"/>
    <col min="31" max="31" width="19.21875" bestFit="1" customWidth="1"/>
    <col min="32" max="32" width="3.33203125" bestFit="1" customWidth="1"/>
    <col min="33" max="33" width="3.21875" bestFit="1" customWidth="1"/>
    <col min="34" max="34" width="10.77734375" bestFit="1" customWidth="1"/>
    <col min="35" max="35" width="12" bestFit="1" customWidth="1"/>
    <col min="36" max="36" width="9.21875" bestFit="1" customWidth="1"/>
    <col min="37" max="37" width="13.5546875" bestFit="1" customWidth="1"/>
    <col min="38" max="38" width="12.44140625" bestFit="1" customWidth="1"/>
    <col min="39" max="39" width="15.44140625" bestFit="1" customWidth="1"/>
    <col min="40" max="40" width="22.5546875" bestFit="1" customWidth="1"/>
    <col min="41" max="41" width="25.21875" bestFit="1" customWidth="1"/>
    <col min="42" max="42" width="59.88671875" bestFit="1" customWidth="1"/>
    <col min="43" max="43" width="34.5546875" bestFit="1" customWidth="1"/>
    <col min="44" max="44" width="18.88671875" bestFit="1" customWidth="1"/>
    <col min="45" max="45" width="4.5546875" bestFit="1" customWidth="1"/>
    <col min="46" max="46" width="8.77734375" bestFit="1" customWidth="1"/>
    <col min="47" max="47" width="4.88671875" bestFit="1" customWidth="1"/>
    <col min="48" max="48" width="11.77734375" bestFit="1" customWidth="1"/>
    <col min="49" max="49" width="15.21875" bestFit="1" customWidth="1"/>
  </cols>
  <sheetData>
    <row r="1" spans="1:49" x14ac:dyDescent="0.3">
      <c r="A1" t="s">
        <v>16</v>
      </c>
      <c r="B1" t="s">
        <v>92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123</v>
      </c>
      <c r="I1" t="s">
        <v>23</v>
      </c>
      <c r="J1" t="s">
        <v>24</v>
      </c>
      <c r="K1" t="s">
        <v>25</v>
      </c>
      <c r="L1" t="s">
        <v>26</v>
      </c>
      <c r="M1" t="s">
        <v>27</v>
      </c>
      <c r="N1" t="s">
        <v>127</v>
      </c>
      <c r="O1" t="s">
        <v>128</v>
      </c>
      <c r="P1" t="s">
        <v>129</v>
      </c>
      <c r="Q1" t="s">
        <v>130</v>
      </c>
      <c r="R1" t="s">
        <v>131</v>
      </c>
      <c r="S1" s="10" t="s">
        <v>34</v>
      </c>
      <c r="T1" t="s">
        <v>33</v>
      </c>
      <c r="U1" t="s">
        <v>132</v>
      </c>
      <c r="V1" t="s">
        <v>133</v>
      </c>
      <c r="W1" t="s">
        <v>134</v>
      </c>
      <c r="X1" t="s">
        <v>135</v>
      </c>
      <c r="Y1" t="s">
        <v>136</v>
      </c>
      <c r="Z1" t="s">
        <v>137</v>
      </c>
      <c r="AA1" t="s">
        <v>138</v>
      </c>
      <c r="AB1" t="s">
        <v>139</v>
      </c>
      <c r="AC1" t="s">
        <v>140</v>
      </c>
      <c r="AD1" t="s">
        <v>141</v>
      </c>
      <c r="AE1" t="s">
        <v>142</v>
      </c>
      <c r="AF1" t="s">
        <v>143</v>
      </c>
      <c r="AG1" t="s">
        <v>144</v>
      </c>
      <c r="AH1" t="s">
        <v>145</v>
      </c>
      <c r="AI1" t="s">
        <v>146</v>
      </c>
      <c r="AJ1" t="s">
        <v>147</v>
      </c>
      <c r="AK1" t="s">
        <v>148</v>
      </c>
      <c r="AL1" t="s">
        <v>149</v>
      </c>
      <c r="AM1" t="s">
        <v>150</v>
      </c>
      <c r="AN1" t="s">
        <v>151</v>
      </c>
      <c r="AO1" t="s">
        <v>152</v>
      </c>
      <c r="AP1" t="s">
        <v>153</v>
      </c>
      <c r="AQ1" t="s">
        <v>154</v>
      </c>
      <c r="AR1" t="s">
        <v>155</v>
      </c>
      <c r="AS1" t="s">
        <v>156</v>
      </c>
      <c r="AT1" t="s">
        <v>157</v>
      </c>
      <c r="AU1" t="s">
        <v>158</v>
      </c>
      <c r="AV1" t="s">
        <v>159</v>
      </c>
      <c r="AW1" t="s">
        <v>254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6D95C-F866-41E4-9E1B-0A076B840BD5}">
  <sheetPr codeName="Sheet2"/>
  <dimension ref="A1:BG1"/>
  <sheetViews>
    <sheetView workbookViewId="0"/>
  </sheetViews>
  <sheetFormatPr defaultRowHeight="14.4" x14ac:dyDescent="0.3"/>
  <cols>
    <col min="1" max="1" width="14" bestFit="1" customWidth="1"/>
    <col min="2" max="2" width="5.44140625" bestFit="1" customWidth="1"/>
    <col min="3" max="3" width="14" bestFit="1" customWidth="1"/>
    <col min="4" max="4" width="6" bestFit="1" customWidth="1"/>
    <col min="5" max="5" width="19" bestFit="1" customWidth="1"/>
    <col min="6" max="6" width="13.88671875" bestFit="1" customWidth="1"/>
    <col min="7" max="7" width="9" bestFit="1" customWidth="1"/>
    <col min="8" max="8" width="26.6640625" bestFit="1" customWidth="1"/>
    <col min="9" max="9" width="30.5546875" bestFit="1" customWidth="1"/>
    <col min="10" max="10" width="15.109375" bestFit="1" customWidth="1"/>
    <col min="11" max="11" width="23.33203125" bestFit="1" customWidth="1"/>
    <col min="12" max="12" width="12.33203125" bestFit="1" customWidth="1"/>
    <col min="13" max="14" width="10.33203125" bestFit="1" customWidth="1"/>
    <col min="15" max="15" width="4.5546875" bestFit="1" customWidth="1"/>
    <col min="16" max="16" width="10.33203125" style="10" bestFit="1" customWidth="1"/>
    <col min="17" max="17" width="11" bestFit="1" customWidth="1"/>
    <col min="18" max="18" width="8.21875" bestFit="1" customWidth="1"/>
    <col min="19" max="19" width="19.44140625" bestFit="1" customWidth="1"/>
    <col min="20" max="20" width="12.44140625" bestFit="1" customWidth="1"/>
    <col min="21" max="21" width="26.21875" bestFit="1" customWidth="1"/>
    <col min="22" max="22" width="10.88671875" bestFit="1" customWidth="1"/>
    <col min="23" max="23" width="9.44140625" bestFit="1" customWidth="1"/>
    <col min="24" max="24" width="8.33203125" bestFit="1" customWidth="1"/>
    <col min="25" max="25" width="11.21875" bestFit="1" customWidth="1"/>
    <col min="26" max="26" width="12.6640625" bestFit="1" customWidth="1"/>
    <col min="27" max="27" width="11.33203125" bestFit="1" customWidth="1"/>
    <col min="28" max="28" width="16" bestFit="1" customWidth="1"/>
    <col min="29" max="29" width="3" bestFit="1" customWidth="1"/>
    <col min="30" max="30" width="18.88671875" bestFit="1" customWidth="1"/>
    <col min="31" max="31" width="10.6640625" bestFit="1" customWidth="1"/>
    <col min="32" max="32" width="10.33203125" bestFit="1" customWidth="1"/>
    <col min="33" max="33" width="20.5546875" bestFit="1" customWidth="1"/>
    <col min="34" max="34" width="16.21875" bestFit="1" customWidth="1"/>
    <col min="35" max="35" width="26.6640625" bestFit="1" customWidth="1"/>
    <col min="36" max="36" width="13.33203125" bestFit="1" customWidth="1"/>
    <col min="37" max="37" width="15.109375" bestFit="1" customWidth="1"/>
    <col min="38" max="38" width="17" bestFit="1" customWidth="1"/>
    <col min="39" max="39" width="25.44140625" bestFit="1" customWidth="1"/>
    <col min="40" max="40" width="24.77734375" bestFit="1" customWidth="1"/>
    <col min="41" max="41" width="16.33203125" bestFit="1" customWidth="1"/>
    <col min="42" max="42" width="10.109375" bestFit="1" customWidth="1"/>
    <col min="43" max="43" width="5.88671875" bestFit="1" customWidth="1"/>
    <col min="44" max="44" width="3.44140625" bestFit="1" customWidth="1"/>
    <col min="45" max="45" width="3.88671875" bestFit="1" customWidth="1"/>
    <col min="46" max="46" width="19.6640625" bestFit="1" customWidth="1"/>
    <col min="47" max="47" width="10.21875" bestFit="1" customWidth="1"/>
    <col min="48" max="48" width="22.6640625" bestFit="1" customWidth="1"/>
    <col min="49" max="49" width="20.5546875" bestFit="1" customWidth="1"/>
    <col min="50" max="50" width="17.21875" bestFit="1" customWidth="1"/>
    <col min="51" max="51" width="15.109375" bestFit="1" customWidth="1"/>
    <col min="52" max="53" width="5" bestFit="1" customWidth="1"/>
    <col min="54" max="54" width="4.88671875" bestFit="1" customWidth="1"/>
    <col min="55" max="55" width="25.6640625" bestFit="1" customWidth="1"/>
    <col min="56" max="56" width="5" bestFit="1" customWidth="1"/>
    <col min="57" max="57" width="15.33203125" bestFit="1" customWidth="1"/>
    <col min="58" max="58" width="4.21875" bestFit="1" customWidth="1"/>
    <col min="59" max="59" width="15.21875" bestFit="1" customWidth="1"/>
  </cols>
  <sheetData>
    <row r="1" spans="1:59" x14ac:dyDescent="0.3">
      <c r="A1" t="s">
        <v>16</v>
      </c>
      <c r="B1" t="s">
        <v>92</v>
      </c>
      <c r="C1" t="s">
        <v>18</v>
      </c>
      <c r="D1" t="s">
        <v>19</v>
      </c>
      <c r="E1" t="s">
        <v>20</v>
      </c>
      <c r="F1" t="s">
        <v>21</v>
      </c>
      <c r="G1" t="s">
        <v>122</v>
      </c>
      <c r="H1" t="s">
        <v>123</v>
      </c>
      <c r="I1" t="s">
        <v>23</v>
      </c>
      <c r="J1" t="s">
        <v>25</v>
      </c>
      <c r="K1" t="s">
        <v>162</v>
      </c>
      <c r="L1" t="s">
        <v>127</v>
      </c>
      <c r="M1" t="s">
        <v>130</v>
      </c>
      <c r="N1" t="s">
        <v>131</v>
      </c>
      <c r="O1" t="s">
        <v>156</v>
      </c>
      <c r="P1" s="10" t="s">
        <v>34</v>
      </c>
      <c r="Q1" t="s">
        <v>33</v>
      </c>
      <c r="R1" t="s">
        <v>163</v>
      </c>
      <c r="S1" t="s">
        <v>164</v>
      </c>
      <c r="T1" t="s">
        <v>165</v>
      </c>
      <c r="U1" t="s">
        <v>166</v>
      </c>
      <c r="V1" t="s">
        <v>167</v>
      </c>
      <c r="W1" t="s">
        <v>168</v>
      </c>
      <c r="X1" t="s">
        <v>169</v>
      </c>
      <c r="Y1" t="s">
        <v>170</v>
      </c>
      <c r="Z1" t="s">
        <v>171</v>
      </c>
      <c r="AA1" t="s">
        <v>172</v>
      </c>
      <c r="AB1" t="s">
        <v>173</v>
      </c>
      <c r="AC1" t="s">
        <v>174</v>
      </c>
      <c r="AD1" t="s">
        <v>175</v>
      </c>
      <c r="AE1" t="s">
        <v>176</v>
      </c>
      <c r="AF1" t="s">
        <v>177</v>
      </c>
      <c r="AG1" t="s">
        <v>178</v>
      </c>
      <c r="AH1" t="s">
        <v>179</v>
      </c>
      <c r="AI1" t="s">
        <v>180</v>
      </c>
      <c r="AJ1" t="s">
        <v>181</v>
      </c>
      <c r="AK1" t="s">
        <v>182</v>
      </c>
      <c r="AL1" t="s">
        <v>183</v>
      </c>
      <c r="AM1" t="s">
        <v>184</v>
      </c>
      <c r="AN1" t="s">
        <v>185</v>
      </c>
      <c r="AO1" t="s">
        <v>186</v>
      </c>
      <c r="AP1" t="s">
        <v>187</v>
      </c>
      <c r="AQ1" t="s">
        <v>188</v>
      </c>
      <c r="AR1" t="s">
        <v>189</v>
      </c>
      <c r="AS1" t="s">
        <v>190</v>
      </c>
      <c r="AT1" t="s">
        <v>191</v>
      </c>
      <c r="AU1" t="s">
        <v>192</v>
      </c>
      <c r="AV1" t="s">
        <v>193</v>
      </c>
      <c r="AW1" t="s">
        <v>194</v>
      </c>
      <c r="AX1" t="s">
        <v>195</v>
      </c>
      <c r="AY1" t="s">
        <v>196</v>
      </c>
      <c r="AZ1" t="s">
        <v>197</v>
      </c>
      <c r="BA1" t="s">
        <v>198</v>
      </c>
      <c r="BB1" t="s">
        <v>199</v>
      </c>
      <c r="BC1" t="s">
        <v>200</v>
      </c>
      <c r="BD1" t="s">
        <v>201</v>
      </c>
      <c r="BE1" t="s">
        <v>202</v>
      </c>
      <c r="BF1" t="s">
        <v>203</v>
      </c>
      <c r="BG1" t="s">
        <v>254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48E28-6537-4C30-8991-2648C56464A3}">
  <sheetPr codeName="Sheet8"/>
  <dimension ref="A1:P1"/>
  <sheetViews>
    <sheetView workbookViewId="0"/>
  </sheetViews>
  <sheetFormatPr defaultRowHeight="14.4" x14ac:dyDescent="0.3"/>
  <cols>
    <col min="1" max="1" width="14" bestFit="1" customWidth="1"/>
    <col min="2" max="2" width="5.44140625" bestFit="1" customWidth="1"/>
    <col min="3" max="3" width="14" bestFit="1" customWidth="1"/>
    <col min="4" max="4" width="6" bestFit="1" customWidth="1"/>
    <col min="5" max="5" width="18.21875" bestFit="1" customWidth="1"/>
    <col min="6" max="6" width="13.88671875" bestFit="1" customWidth="1"/>
    <col min="7" max="7" width="9" bestFit="1" customWidth="1"/>
    <col min="8" max="8" width="18.5546875" bestFit="1" customWidth="1"/>
    <col min="9" max="9" width="11.5546875" bestFit="1" customWidth="1"/>
    <col min="10" max="10" width="15.109375" bestFit="1" customWidth="1"/>
    <col min="11" max="11" width="10.33203125" bestFit="1" customWidth="1"/>
    <col min="12" max="12" width="21.6640625" bestFit="1" customWidth="1"/>
    <col min="13" max="13" width="11" bestFit="1" customWidth="1"/>
    <col min="14" max="14" width="10.33203125" style="10" bestFit="1" customWidth="1"/>
    <col min="15" max="15" width="13.109375" bestFit="1" customWidth="1"/>
    <col min="16" max="16" width="15.21875" bestFit="1" customWidth="1"/>
  </cols>
  <sheetData>
    <row r="1" spans="1:16" x14ac:dyDescent="0.3">
      <c r="A1" t="s">
        <v>16</v>
      </c>
      <c r="B1" t="s">
        <v>92</v>
      </c>
      <c r="C1" t="s">
        <v>18</v>
      </c>
      <c r="D1" t="s">
        <v>19</v>
      </c>
      <c r="E1" t="s">
        <v>20</v>
      </c>
      <c r="F1" t="s">
        <v>21</v>
      </c>
      <c r="G1" t="s">
        <v>122</v>
      </c>
      <c r="H1" t="s">
        <v>123</v>
      </c>
      <c r="I1" t="s">
        <v>23</v>
      </c>
      <c r="J1" t="s">
        <v>25</v>
      </c>
      <c r="K1" t="s">
        <v>131</v>
      </c>
      <c r="L1" t="s">
        <v>212</v>
      </c>
      <c r="M1" t="s">
        <v>33</v>
      </c>
      <c r="N1" s="10" t="s">
        <v>34</v>
      </c>
      <c r="O1" t="s">
        <v>213</v>
      </c>
      <c r="P1" t="s">
        <v>254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30ACA-B7BB-43E0-B632-BE9E620B15DB}">
  <sheetPr codeName="Sheet10"/>
  <dimension ref="A1:P1"/>
  <sheetViews>
    <sheetView workbookViewId="0">
      <selection activeCell="A2" sqref="A2"/>
    </sheetView>
  </sheetViews>
  <sheetFormatPr defaultRowHeight="14.4" x14ac:dyDescent="0.3"/>
  <cols>
    <col min="1" max="1" width="14" bestFit="1" customWidth="1"/>
    <col min="2" max="2" width="5.44140625" bestFit="1" customWidth="1"/>
    <col min="3" max="3" width="14" bestFit="1" customWidth="1"/>
    <col min="4" max="4" width="6" bestFit="1" customWidth="1"/>
    <col min="5" max="5" width="18.21875" bestFit="1" customWidth="1"/>
    <col min="6" max="6" width="13.88671875" bestFit="1" customWidth="1"/>
    <col min="7" max="7" width="9" bestFit="1" customWidth="1"/>
    <col min="8" max="8" width="9.5546875" bestFit="1" customWidth="1"/>
    <col min="9" max="9" width="12.77734375" bestFit="1" customWidth="1"/>
    <col min="10" max="10" width="6" bestFit="1" customWidth="1"/>
    <col min="11" max="11" width="15.109375" bestFit="1" customWidth="1"/>
    <col min="12" max="12" width="10.33203125" bestFit="1" customWidth="1"/>
    <col min="13" max="13" width="16.77734375" bestFit="1" customWidth="1"/>
    <col min="14" max="14" width="8.5546875" bestFit="1" customWidth="1"/>
    <col min="15" max="15" width="10.33203125" style="10" bestFit="1" customWidth="1"/>
    <col min="16" max="16" width="15.21875" style="10" bestFit="1" customWidth="1"/>
  </cols>
  <sheetData>
    <row r="1" spans="1:16" x14ac:dyDescent="0.3">
      <c r="A1" t="s">
        <v>16</v>
      </c>
      <c r="B1" t="s">
        <v>92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123</v>
      </c>
      <c r="I1" t="s">
        <v>23</v>
      </c>
      <c r="J1" t="s">
        <v>24</v>
      </c>
      <c r="K1" t="s">
        <v>25</v>
      </c>
      <c r="L1" t="s">
        <v>131</v>
      </c>
      <c r="M1" t="s">
        <v>214</v>
      </c>
      <c r="N1" t="s">
        <v>215</v>
      </c>
      <c r="O1" s="10" t="s">
        <v>34</v>
      </c>
      <c r="P1" s="10" t="s">
        <v>254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D98A3-ACF6-4316-B96D-A46F7FCC1117}">
  <sheetPr codeName="Sheet12"/>
  <dimension ref="A1:V1"/>
  <sheetViews>
    <sheetView workbookViewId="0">
      <selection activeCell="A2" sqref="A2"/>
    </sheetView>
  </sheetViews>
  <sheetFormatPr defaultRowHeight="14.4" x14ac:dyDescent="0.3"/>
  <cols>
    <col min="1" max="1" width="14" bestFit="1" customWidth="1"/>
    <col min="2" max="2" width="5.44140625" bestFit="1" customWidth="1"/>
    <col min="3" max="3" width="14" bestFit="1" customWidth="1"/>
    <col min="4" max="4" width="6" bestFit="1" customWidth="1"/>
    <col min="5" max="5" width="19" bestFit="1" customWidth="1"/>
    <col min="6" max="6" width="13.88671875" bestFit="1" customWidth="1"/>
    <col min="7" max="7" width="9" bestFit="1" customWidth="1"/>
    <col min="8" max="8" width="26.6640625" bestFit="1" customWidth="1"/>
    <col min="9" max="9" width="30.5546875" bestFit="1" customWidth="1"/>
    <col min="10" max="10" width="6" bestFit="1" customWidth="1"/>
    <col min="11" max="11" width="15.109375" bestFit="1" customWidth="1"/>
    <col min="12" max="12" width="5.77734375" bestFit="1" customWidth="1"/>
    <col min="13" max="13" width="20.21875" bestFit="1" customWidth="1"/>
    <col min="14" max="14" width="10.33203125" bestFit="1" customWidth="1"/>
    <col min="15" max="15" width="11.6640625" bestFit="1" customWidth="1"/>
    <col min="16" max="16" width="25.109375" bestFit="1" customWidth="1"/>
    <col min="17" max="17" width="30.109375" bestFit="1" customWidth="1"/>
    <col min="18" max="18" width="6.21875" bestFit="1" customWidth="1"/>
    <col min="19" max="19" width="11" bestFit="1" customWidth="1"/>
    <col min="20" max="20" width="10.33203125" style="10" bestFit="1" customWidth="1"/>
    <col min="21" max="21" width="13.109375" bestFit="1" customWidth="1"/>
    <col min="22" max="22" width="15.21875" bestFit="1" customWidth="1"/>
  </cols>
  <sheetData>
    <row r="1" spans="1:22" x14ac:dyDescent="0.3">
      <c r="A1" t="s">
        <v>16</v>
      </c>
      <c r="B1" t="s">
        <v>92</v>
      </c>
      <c r="C1" t="s">
        <v>18</v>
      </c>
      <c r="D1" t="s">
        <v>19</v>
      </c>
      <c r="E1" t="s">
        <v>20</v>
      </c>
      <c r="F1" t="s">
        <v>21</v>
      </c>
      <c r="G1" t="s">
        <v>216</v>
      </c>
      <c r="H1" t="s">
        <v>123</v>
      </c>
      <c r="I1" t="s">
        <v>23</v>
      </c>
      <c r="J1" t="s">
        <v>24</v>
      </c>
      <c r="K1" t="s">
        <v>25</v>
      </c>
      <c r="L1" t="s">
        <v>26</v>
      </c>
      <c r="M1" t="s">
        <v>27</v>
      </c>
      <c r="N1" t="s">
        <v>131</v>
      </c>
      <c r="O1" t="s">
        <v>217</v>
      </c>
      <c r="P1" t="s">
        <v>218</v>
      </c>
      <c r="Q1" t="s">
        <v>219</v>
      </c>
      <c r="R1" t="s">
        <v>94</v>
      </c>
      <c r="S1" t="s">
        <v>33</v>
      </c>
      <c r="T1" s="10" t="s">
        <v>34</v>
      </c>
      <c r="U1" t="s">
        <v>35</v>
      </c>
      <c r="V1" t="s">
        <v>254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D4FA5-1820-4695-B7E7-97FE065F8D0E}">
  <sheetPr codeName="Sheet13"/>
  <dimension ref="A1:AY1"/>
  <sheetViews>
    <sheetView workbookViewId="0"/>
  </sheetViews>
  <sheetFormatPr defaultRowHeight="14.4" x14ac:dyDescent="0.3"/>
  <cols>
    <col min="1" max="1" width="14" bestFit="1" customWidth="1"/>
    <col min="2" max="2" width="5.44140625" bestFit="1" customWidth="1"/>
    <col min="3" max="3" width="14" bestFit="1" customWidth="1"/>
    <col min="4" max="4" width="6" bestFit="1" customWidth="1"/>
    <col min="5" max="5" width="18.5546875" bestFit="1" customWidth="1"/>
    <col min="6" max="6" width="13.88671875" bestFit="1" customWidth="1"/>
    <col min="7" max="7" width="9" bestFit="1" customWidth="1"/>
    <col min="8" max="8" width="26.6640625" bestFit="1" customWidth="1"/>
    <col min="9" max="9" width="30.5546875" bestFit="1" customWidth="1"/>
    <col min="10" max="10" width="6" bestFit="1" customWidth="1"/>
    <col min="11" max="11" width="15.109375" bestFit="1" customWidth="1"/>
    <col min="12" max="12" width="5.77734375" bestFit="1" customWidth="1"/>
    <col min="13" max="13" width="20.21875" bestFit="1" customWidth="1"/>
    <col min="14" max="14" width="4.5546875" bestFit="1" customWidth="1"/>
    <col min="15" max="15" width="18.77734375" bestFit="1" customWidth="1"/>
    <col min="16" max="16" width="9.109375" bestFit="1" customWidth="1"/>
    <col min="17" max="17" width="18.33203125" bestFit="1" customWidth="1"/>
    <col min="18" max="19" width="10.33203125" bestFit="1" customWidth="1"/>
    <col min="20" max="20" width="10.33203125" style="10" bestFit="1" customWidth="1"/>
    <col min="21" max="21" width="11" bestFit="1" customWidth="1"/>
    <col min="22" max="22" width="36.44140625" bestFit="1" customWidth="1"/>
    <col min="23" max="23" width="40.44140625" bestFit="1" customWidth="1"/>
    <col min="24" max="24" width="61.88671875" bestFit="1" customWidth="1"/>
    <col min="25" max="25" width="41" bestFit="1" customWidth="1"/>
    <col min="26" max="26" width="32.21875" bestFit="1" customWidth="1"/>
    <col min="27" max="27" width="12.77734375" bestFit="1" customWidth="1"/>
    <col min="28" max="28" width="16.44140625" bestFit="1" customWidth="1"/>
    <col min="29" max="29" width="15.109375" bestFit="1" customWidth="1"/>
    <col min="30" max="30" width="4.5546875" bestFit="1" customWidth="1"/>
    <col min="31" max="31" width="4" bestFit="1" customWidth="1"/>
    <col min="32" max="32" width="41" bestFit="1" customWidth="1"/>
    <col min="33" max="34" width="7.44140625" bestFit="1" customWidth="1"/>
    <col min="35" max="35" width="26.6640625" bestFit="1" customWidth="1"/>
    <col min="36" max="36" width="7.44140625" bestFit="1" customWidth="1"/>
    <col min="37" max="37" width="10.77734375" bestFit="1" customWidth="1"/>
    <col min="38" max="39" width="17.5546875" bestFit="1" customWidth="1"/>
    <col min="40" max="40" width="25.88671875" bestFit="1" customWidth="1"/>
    <col min="41" max="41" width="23" bestFit="1" customWidth="1"/>
    <col min="42" max="42" width="6.21875" bestFit="1" customWidth="1"/>
    <col min="43" max="43" width="17.5546875" bestFit="1" customWidth="1"/>
    <col min="44" max="44" width="5.21875" bestFit="1" customWidth="1"/>
    <col min="45" max="45" width="8.5546875" bestFit="1" customWidth="1"/>
    <col min="46" max="46" width="3.33203125" bestFit="1" customWidth="1"/>
    <col min="47" max="47" width="14" bestFit="1" customWidth="1"/>
    <col min="48" max="48" width="18.33203125" bestFit="1" customWidth="1"/>
    <col min="49" max="49" width="23.6640625" bestFit="1" customWidth="1"/>
    <col min="50" max="50" width="5.5546875" bestFit="1" customWidth="1"/>
    <col min="51" max="51" width="15.21875" bestFit="1" customWidth="1"/>
  </cols>
  <sheetData>
    <row r="1" spans="1:51" x14ac:dyDescent="0.3">
      <c r="A1" t="s">
        <v>16</v>
      </c>
      <c r="B1" t="s">
        <v>92</v>
      </c>
      <c r="C1" t="s">
        <v>18</v>
      </c>
      <c r="D1" t="s">
        <v>19</v>
      </c>
      <c r="E1" t="s">
        <v>20</v>
      </c>
      <c r="F1" t="s">
        <v>21</v>
      </c>
      <c r="G1" t="s">
        <v>216</v>
      </c>
      <c r="H1" t="s">
        <v>123</v>
      </c>
      <c r="I1" t="s">
        <v>23</v>
      </c>
      <c r="J1" t="s">
        <v>24</v>
      </c>
      <c r="K1" t="s">
        <v>25</v>
      </c>
      <c r="L1" t="s">
        <v>26</v>
      </c>
      <c r="M1" t="s">
        <v>27</v>
      </c>
      <c r="N1" t="s">
        <v>156</v>
      </c>
      <c r="O1" t="s">
        <v>222</v>
      </c>
      <c r="P1" t="s">
        <v>127</v>
      </c>
      <c r="Q1" t="s">
        <v>128</v>
      </c>
      <c r="R1" t="s">
        <v>130</v>
      </c>
      <c r="S1" t="s">
        <v>131</v>
      </c>
      <c r="T1" s="10" t="s">
        <v>34</v>
      </c>
      <c r="U1" t="s">
        <v>33</v>
      </c>
      <c r="V1" t="s">
        <v>223</v>
      </c>
      <c r="W1" t="s">
        <v>224</v>
      </c>
      <c r="X1" t="s">
        <v>225</v>
      </c>
      <c r="Y1" t="s">
        <v>138</v>
      </c>
      <c r="Z1" t="s">
        <v>226</v>
      </c>
      <c r="AA1" t="s">
        <v>137</v>
      </c>
      <c r="AB1" t="s">
        <v>227</v>
      </c>
      <c r="AC1" t="s">
        <v>228</v>
      </c>
      <c r="AD1" t="s">
        <v>229</v>
      </c>
      <c r="AE1" t="s">
        <v>230</v>
      </c>
      <c r="AF1" t="s">
        <v>231</v>
      </c>
      <c r="AG1" t="s">
        <v>232</v>
      </c>
      <c r="AH1" t="s">
        <v>233</v>
      </c>
      <c r="AI1" t="s">
        <v>234</v>
      </c>
      <c r="AJ1" t="s">
        <v>235</v>
      </c>
      <c r="AK1" t="s">
        <v>236</v>
      </c>
      <c r="AL1" t="s">
        <v>237</v>
      </c>
      <c r="AM1" t="s">
        <v>238</v>
      </c>
      <c r="AN1" t="s">
        <v>239</v>
      </c>
      <c r="AO1" t="s">
        <v>96</v>
      </c>
      <c r="AP1" t="s">
        <v>240</v>
      </c>
      <c r="AQ1" t="s">
        <v>241</v>
      </c>
      <c r="AR1" t="s">
        <v>242</v>
      </c>
      <c r="AS1" t="s">
        <v>215</v>
      </c>
      <c r="AT1" t="s">
        <v>243</v>
      </c>
      <c r="AU1" t="s">
        <v>244</v>
      </c>
      <c r="AV1" t="s">
        <v>245</v>
      </c>
      <c r="AW1" t="s">
        <v>246</v>
      </c>
      <c r="AX1" t="s">
        <v>247</v>
      </c>
      <c r="AY1" t="s">
        <v>254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672F5-6576-4CD9-A5B3-5354FB2EBA62}">
  <sheetPr codeName="Sheet14"/>
  <dimension ref="A1:O1"/>
  <sheetViews>
    <sheetView workbookViewId="0"/>
  </sheetViews>
  <sheetFormatPr defaultRowHeight="14.4" x14ac:dyDescent="0.3"/>
  <cols>
    <col min="1" max="1" width="14" bestFit="1" customWidth="1"/>
    <col min="2" max="2" width="5.44140625" bestFit="1" customWidth="1"/>
    <col min="3" max="3" width="14" bestFit="1" customWidth="1"/>
    <col min="4" max="4" width="6" bestFit="1" customWidth="1"/>
    <col min="5" max="5" width="18.21875" bestFit="1" customWidth="1"/>
    <col min="6" max="6" width="13.88671875" bestFit="1" customWidth="1"/>
    <col min="7" max="7" width="9" bestFit="1" customWidth="1"/>
    <col min="8" max="8" width="19.109375" bestFit="1" customWidth="1"/>
    <col min="9" max="9" width="14.21875" bestFit="1" customWidth="1"/>
    <col min="10" max="10" width="10.33203125" bestFit="1" customWidth="1"/>
    <col min="11" max="11" width="26.33203125" bestFit="1" customWidth="1"/>
    <col min="12" max="12" width="11" bestFit="1" customWidth="1"/>
    <col min="13" max="13" width="10.33203125" style="10" bestFit="1" customWidth="1"/>
    <col min="14" max="14" width="13.109375" bestFit="1" customWidth="1"/>
    <col min="15" max="15" width="15.21875" bestFit="1" customWidth="1"/>
  </cols>
  <sheetData>
    <row r="1" spans="1:15" x14ac:dyDescent="0.3">
      <c r="A1" t="s">
        <v>16</v>
      </c>
      <c r="B1" t="s">
        <v>92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123</v>
      </c>
      <c r="I1" t="s">
        <v>23</v>
      </c>
      <c r="J1" t="s">
        <v>131</v>
      </c>
      <c r="K1" t="s">
        <v>212</v>
      </c>
      <c r="L1" t="s">
        <v>33</v>
      </c>
      <c r="M1" s="10" t="s">
        <v>34</v>
      </c>
      <c r="N1" t="s">
        <v>35</v>
      </c>
      <c r="O1" t="s">
        <v>254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E4086-3CD7-407B-AF3E-E54331DAE966}">
  <sheetPr codeName="Sheet15"/>
  <dimension ref="A1:Q1"/>
  <sheetViews>
    <sheetView workbookViewId="0"/>
  </sheetViews>
  <sheetFormatPr defaultRowHeight="14.4" x14ac:dyDescent="0.3"/>
  <cols>
    <col min="1" max="1" width="14" bestFit="1" customWidth="1"/>
    <col min="2" max="2" width="5.44140625" bestFit="1" customWidth="1"/>
    <col min="3" max="3" width="14" bestFit="1" customWidth="1"/>
    <col min="4" max="4" width="6" bestFit="1" customWidth="1"/>
    <col min="5" max="5" width="18.21875" bestFit="1" customWidth="1"/>
    <col min="6" max="6" width="13.88671875" bestFit="1" customWidth="1"/>
    <col min="7" max="7" width="9" bestFit="1" customWidth="1"/>
    <col min="8" max="8" width="10.33203125" bestFit="1" customWidth="1"/>
    <col min="9" max="9" width="25.5546875" bestFit="1" customWidth="1"/>
    <col min="10" max="10" width="20.44140625" bestFit="1" customWidth="1"/>
    <col min="11" max="11" width="15.109375" bestFit="1" customWidth="1"/>
    <col min="12" max="12" width="24.21875" bestFit="1" customWidth="1"/>
    <col min="13" max="13" width="25.88671875" bestFit="1" customWidth="1"/>
    <col min="14" max="14" width="10.33203125" style="10" bestFit="1" customWidth="1"/>
    <col min="15" max="15" width="11" bestFit="1" customWidth="1"/>
    <col min="16" max="16" width="13.109375" bestFit="1" customWidth="1"/>
    <col min="17" max="17" width="15.21875" bestFit="1" customWidth="1"/>
  </cols>
  <sheetData>
    <row r="1" spans="1:17" x14ac:dyDescent="0.3">
      <c r="A1" t="s">
        <v>16</v>
      </c>
      <c r="B1" t="s">
        <v>92</v>
      </c>
      <c r="C1" t="s">
        <v>18</v>
      </c>
      <c r="D1" t="s">
        <v>19</v>
      </c>
      <c r="E1" t="s">
        <v>20</v>
      </c>
      <c r="F1" t="s">
        <v>21</v>
      </c>
      <c r="G1" t="s">
        <v>249</v>
      </c>
      <c r="H1" t="s">
        <v>131</v>
      </c>
      <c r="I1" t="s">
        <v>123</v>
      </c>
      <c r="J1" t="s">
        <v>23</v>
      </c>
      <c r="K1" t="s">
        <v>25</v>
      </c>
      <c r="L1" t="s">
        <v>250</v>
      </c>
      <c r="M1" t="s">
        <v>212</v>
      </c>
      <c r="N1" s="10" t="s">
        <v>34</v>
      </c>
      <c r="O1" t="s">
        <v>33</v>
      </c>
      <c r="P1" t="s">
        <v>213</v>
      </c>
      <c r="Q1" t="s">
        <v>254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5C721-64FE-4B3F-B409-09D1FB66CC35}">
  <sheetPr codeName="Sheet6"/>
  <dimension ref="A1:BE104"/>
  <sheetViews>
    <sheetView showGridLines="0" workbookViewId="0">
      <pane xSplit="4" topLeftCell="E1" activePane="topRight" state="frozen"/>
      <selection pane="topRight" activeCell="A2" sqref="A2:BE104"/>
    </sheetView>
  </sheetViews>
  <sheetFormatPr defaultRowHeight="14.4" x14ac:dyDescent="0.3"/>
  <cols>
    <col min="1" max="1" width="9.109375" bestFit="1" customWidth="1"/>
    <col min="2" max="2" width="25.6640625" bestFit="1" customWidth="1"/>
    <col min="3" max="3" width="7.5546875" bestFit="1" customWidth="1"/>
    <col min="4" max="4" width="10.33203125" bestFit="1" customWidth="1"/>
    <col min="5" max="5" width="10.109375" bestFit="1" customWidth="1"/>
    <col min="6" max="6" width="9.77734375" bestFit="1" customWidth="1"/>
    <col min="7" max="7" width="27.77734375" bestFit="1" customWidth="1"/>
    <col min="8" max="8" width="11.5546875" bestFit="1" customWidth="1"/>
    <col min="9" max="9" width="14.5546875" bestFit="1" customWidth="1"/>
    <col min="10" max="10" width="25" bestFit="1" customWidth="1"/>
    <col min="11" max="11" width="17.44140625" bestFit="1" customWidth="1"/>
    <col min="12" max="12" width="25.44140625" bestFit="1" customWidth="1"/>
    <col min="13" max="13" width="4.33203125" bestFit="1" customWidth="1"/>
    <col min="14" max="14" width="9.33203125" bestFit="1" customWidth="1"/>
    <col min="15" max="15" width="12.44140625" bestFit="1" customWidth="1"/>
    <col min="16" max="16" width="15.44140625" bestFit="1" customWidth="1"/>
    <col min="17" max="17" width="10.21875" bestFit="1" customWidth="1"/>
    <col min="18" max="18" width="17" bestFit="1" customWidth="1"/>
    <col min="19" max="19" width="20" bestFit="1" customWidth="1"/>
    <col min="20" max="20" width="7.6640625" bestFit="1" customWidth="1"/>
    <col min="21" max="21" width="9.21875" bestFit="1" customWidth="1"/>
    <col min="22" max="22" width="16.88671875" bestFit="1" customWidth="1"/>
    <col min="23" max="23" width="27.77734375" bestFit="1" customWidth="1"/>
    <col min="24" max="24" width="17.44140625" bestFit="1" customWidth="1"/>
    <col min="25" max="25" width="11.21875" bestFit="1" customWidth="1"/>
  </cols>
  <sheetData>
    <row r="1" spans="1:57" x14ac:dyDescent="0.3">
      <c r="A1" s="7" t="s">
        <v>16</v>
      </c>
      <c r="B1" s="8" t="s">
        <v>92</v>
      </c>
      <c r="C1" s="8" t="s">
        <v>18</v>
      </c>
      <c r="D1" s="8" t="s">
        <v>19</v>
      </c>
      <c r="E1" s="8" t="s">
        <v>20</v>
      </c>
      <c r="F1" s="8" t="s">
        <v>21</v>
      </c>
      <c r="G1" s="8" t="s">
        <v>122</v>
      </c>
      <c r="H1" s="8" t="s">
        <v>250</v>
      </c>
      <c r="I1" s="8" t="s">
        <v>24</v>
      </c>
      <c r="J1" s="8" t="s">
        <v>25</v>
      </c>
      <c r="K1" s="8" t="s">
        <v>27</v>
      </c>
      <c r="L1" s="8" t="s">
        <v>131</v>
      </c>
      <c r="M1" s="8" t="s">
        <v>123</v>
      </c>
      <c r="N1" s="8" t="s">
        <v>23</v>
      </c>
      <c r="O1" s="8" t="s">
        <v>191</v>
      </c>
      <c r="P1" s="8" t="s">
        <v>169</v>
      </c>
      <c r="Q1" s="8" t="s">
        <v>176</v>
      </c>
      <c r="R1" s="8" t="s">
        <v>177</v>
      </c>
      <c r="S1" s="8" t="s">
        <v>186</v>
      </c>
      <c r="T1" s="8" t="s">
        <v>267</v>
      </c>
      <c r="U1" s="8" t="s">
        <v>268</v>
      </c>
      <c r="V1" s="8" t="s">
        <v>269</v>
      </c>
      <c r="W1" s="8" t="s">
        <v>129</v>
      </c>
      <c r="X1" s="8" t="s">
        <v>140</v>
      </c>
      <c r="Y1" s="8" t="s">
        <v>142</v>
      </c>
      <c r="Z1" s="8" t="s">
        <v>222</v>
      </c>
      <c r="AA1" s="8" t="s">
        <v>270</v>
      </c>
      <c r="AB1" s="8" t="s">
        <v>225</v>
      </c>
      <c r="AC1" s="8" t="s">
        <v>231</v>
      </c>
      <c r="AD1" s="8" t="s">
        <v>137</v>
      </c>
      <c r="AE1" s="8" t="s">
        <v>138</v>
      </c>
      <c r="AF1" s="8" t="s">
        <v>227</v>
      </c>
      <c r="AG1" s="8" t="s">
        <v>271</v>
      </c>
      <c r="AH1" s="8" t="s">
        <v>272</v>
      </c>
      <c r="AI1" s="8" t="s">
        <v>94</v>
      </c>
      <c r="AJ1" s="8" t="s">
        <v>95</v>
      </c>
      <c r="AK1" s="8" t="s">
        <v>3</v>
      </c>
      <c r="AL1" s="8" t="s">
        <v>273</v>
      </c>
      <c r="AM1" s="8" t="s">
        <v>217</v>
      </c>
      <c r="AN1" s="8" t="s">
        <v>218</v>
      </c>
      <c r="AO1" s="8" t="s">
        <v>274</v>
      </c>
      <c r="AP1" s="8" t="s">
        <v>275</v>
      </c>
      <c r="AQ1" s="11" t="s">
        <v>34</v>
      </c>
      <c r="AR1" s="8" t="s">
        <v>33</v>
      </c>
      <c r="AS1" s="8" t="s">
        <v>276</v>
      </c>
      <c r="AT1" s="8" t="s">
        <v>277</v>
      </c>
      <c r="AU1" s="8" t="s">
        <v>278</v>
      </c>
      <c r="AV1" s="8" t="s">
        <v>279</v>
      </c>
      <c r="AW1" s="8" t="s">
        <v>280</v>
      </c>
      <c r="AX1" s="8" t="s">
        <v>281</v>
      </c>
      <c r="AY1" s="8" t="s">
        <v>282</v>
      </c>
      <c r="AZ1" s="8" t="s">
        <v>283</v>
      </c>
      <c r="BA1" s="8" t="s">
        <v>284</v>
      </c>
      <c r="BB1" s="8" t="s">
        <v>285</v>
      </c>
      <c r="BC1" s="8" t="s">
        <v>214</v>
      </c>
      <c r="BD1" s="8" t="s">
        <v>212</v>
      </c>
      <c r="BE1" s="9" t="s">
        <v>254</v>
      </c>
    </row>
    <row r="2" spans="1:57" x14ac:dyDescent="0.3">
      <c r="A2" s="13" t="s">
        <v>40</v>
      </c>
      <c r="B2" s="14" t="s">
        <v>291</v>
      </c>
      <c r="C2" s="14" t="s">
        <v>292</v>
      </c>
      <c r="D2" s="14" t="s">
        <v>293</v>
      </c>
      <c r="E2" s="14" t="s">
        <v>294</v>
      </c>
      <c r="F2" s="14" t="s">
        <v>311</v>
      </c>
      <c r="G2" s="14" t="s">
        <v>312</v>
      </c>
      <c r="H2" s="14" t="s">
        <v>286</v>
      </c>
      <c r="I2" s="14" t="s">
        <v>37</v>
      </c>
      <c r="J2" s="14" t="s">
        <v>38</v>
      </c>
      <c r="K2" s="14" t="s">
        <v>39</v>
      </c>
      <c r="L2" s="21">
        <v>44144</v>
      </c>
      <c r="M2" s="14" t="s">
        <v>77</v>
      </c>
      <c r="N2" s="14" t="s">
        <v>61</v>
      </c>
      <c r="O2" s="14" t="s">
        <v>4</v>
      </c>
      <c r="P2" s="14" t="s">
        <v>4</v>
      </c>
      <c r="Q2" s="14" t="s">
        <v>204</v>
      </c>
      <c r="R2" s="21">
        <v>28653</v>
      </c>
      <c r="S2" s="14" t="s">
        <v>206</v>
      </c>
      <c r="T2" s="14" t="s">
        <v>313</v>
      </c>
      <c r="U2" s="14" t="s">
        <v>314</v>
      </c>
      <c r="V2" s="14" t="s">
        <v>295</v>
      </c>
      <c r="W2" s="14" t="s">
        <v>4</v>
      </c>
      <c r="X2" s="14" t="s">
        <v>296</v>
      </c>
      <c r="Y2" s="14" t="s">
        <v>297</v>
      </c>
      <c r="Z2" s="14" t="s">
        <v>248</v>
      </c>
      <c r="AA2" s="14" t="s">
        <v>4</v>
      </c>
      <c r="AB2" s="14" t="s">
        <v>315</v>
      </c>
      <c r="AC2" s="14" t="s">
        <v>4</v>
      </c>
      <c r="AD2" s="14" t="s">
        <v>307</v>
      </c>
      <c r="AE2" s="14" t="s">
        <v>316</v>
      </c>
      <c r="AF2" s="14" t="s">
        <v>40</v>
      </c>
      <c r="AG2" s="14">
        <v>465600</v>
      </c>
      <c r="AH2" s="14" t="s">
        <v>45</v>
      </c>
      <c r="AI2" s="14">
        <v>100</v>
      </c>
      <c r="AJ2" s="14" t="s">
        <v>102</v>
      </c>
      <c r="AK2" s="14">
        <v>38800</v>
      </c>
      <c r="AL2" s="14">
        <v>174</v>
      </c>
      <c r="AM2" s="14" t="s">
        <v>220</v>
      </c>
      <c r="AN2" s="14" t="s">
        <v>221</v>
      </c>
      <c r="AO2" s="14">
        <v>8</v>
      </c>
      <c r="AP2" s="14">
        <v>5</v>
      </c>
      <c r="AQ2" s="15">
        <v>44138</v>
      </c>
      <c r="AR2" s="14" t="s">
        <v>97</v>
      </c>
      <c r="AS2" s="14" t="s">
        <v>4</v>
      </c>
      <c r="AT2" s="14" t="s">
        <v>317</v>
      </c>
      <c r="AU2" s="14" t="s">
        <v>4</v>
      </c>
      <c r="AV2" s="14" t="s">
        <v>4</v>
      </c>
      <c r="AW2" s="14" t="s">
        <v>318</v>
      </c>
      <c r="AX2" s="14" t="s">
        <v>319</v>
      </c>
      <c r="AY2" s="14" t="s">
        <v>4</v>
      </c>
      <c r="AZ2" s="14" t="s">
        <v>320</v>
      </c>
      <c r="BA2" s="14" t="s">
        <v>321</v>
      </c>
      <c r="BB2" s="14" t="s">
        <v>321</v>
      </c>
      <c r="BC2" s="14" t="s">
        <v>298</v>
      </c>
      <c r="BD2" s="14" t="s">
        <v>287</v>
      </c>
      <c r="BE2" s="16" t="s">
        <v>812</v>
      </c>
    </row>
    <row r="3" spans="1:57" x14ac:dyDescent="0.3">
      <c r="A3" s="18" t="s">
        <v>40</v>
      </c>
      <c r="B3" s="19" t="s">
        <v>291</v>
      </c>
      <c r="C3" s="19" t="s">
        <v>292</v>
      </c>
      <c r="D3" s="19" t="s">
        <v>293</v>
      </c>
      <c r="E3" s="19" t="s">
        <v>294</v>
      </c>
      <c r="F3" s="19" t="s">
        <v>311</v>
      </c>
      <c r="G3" s="19" t="s">
        <v>312</v>
      </c>
      <c r="H3" s="19" t="s">
        <v>286</v>
      </c>
      <c r="I3" s="19" t="s">
        <v>37</v>
      </c>
      <c r="J3" s="19" t="s">
        <v>38</v>
      </c>
      <c r="K3" s="19" t="s">
        <v>39</v>
      </c>
      <c r="L3" s="22">
        <v>44144</v>
      </c>
      <c r="M3" s="19" t="s">
        <v>77</v>
      </c>
      <c r="N3" s="19" t="s">
        <v>61</v>
      </c>
      <c r="O3" s="19" t="s">
        <v>4</v>
      </c>
      <c r="P3" s="19" t="s">
        <v>4</v>
      </c>
      <c r="Q3" s="19" t="s">
        <v>204</v>
      </c>
      <c r="R3" s="22">
        <v>28653</v>
      </c>
      <c r="S3" s="19" t="s">
        <v>206</v>
      </c>
      <c r="T3" s="19" t="s">
        <v>313</v>
      </c>
      <c r="U3" s="19" t="s">
        <v>314</v>
      </c>
      <c r="V3" s="19" t="s">
        <v>295</v>
      </c>
      <c r="W3" s="19" t="s">
        <v>4</v>
      </c>
      <c r="X3" s="19" t="s">
        <v>296</v>
      </c>
      <c r="Y3" s="19" t="s">
        <v>297</v>
      </c>
      <c r="Z3" s="19" t="s">
        <v>288</v>
      </c>
      <c r="AA3" s="19" t="s">
        <v>4</v>
      </c>
      <c r="AB3" s="19" t="s">
        <v>315</v>
      </c>
      <c r="AC3" s="19" t="s">
        <v>4</v>
      </c>
      <c r="AD3" s="19" t="s">
        <v>307</v>
      </c>
      <c r="AE3" s="19" t="s">
        <v>316</v>
      </c>
      <c r="AF3" s="19" t="s">
        <v>40</v>
      </c>
      <c r="AG3" s="19">
        <v>465600</v>
      </c>
      <c r="AH3" s="19" t="s">
        <v>45</v>
      </c>
      <c r="AI3" s="19">
        <v>100</v>
      </c>
      <c r="AJ3" s="19" t="s">
        <v>102</v>
      </c>
      <c r="AK3" s="19">
        <v>38800</v>
      </c>
      <c r="AL3" s="19">
        <v>174</v>
      </c>
      <c r="AM3" s="19" t="s">
        <v>220</v>
      </c>
      <c r="AN3" s="19" t="s">
        <v>221</v>
      </c>
      <c r="AO3" s="19">
        <v>8</v>
      </c>
      <c r="AP3" s="19">
        <v>5</v>
      </c>
      <c r="AQ3" s="23">
        <v>44138</v>
      </c>
      <c r="AR3" s="19" t="s">
        <v>97</v>
      </c>
      <c r="AS3" s="19" t="s">
        <v>4</v>
      </c>
      <c r="AT3" s="19" t="s">
        <v>317</v>
      </c>
      <c r="AU3" s="19" t="s">
        <v>4</v>
      </c>
      <c r="AV3" s="19" t="s">
        <v>4</v>
      </c>
      <c r="AW3" s="19" t="s">
        <v>318</v>
      </c>
      <c r="AX3" s="19" t="s">
        <v>319</v>
      </c>
      <c r="AY3" s="19" t="s">
        <v>4</v>
      </c>
      <c r="AZ3" s="19" t="s">
        <v>320</v>
      </c>
      <c r="BA3" s="19" t="s">
        <v>321</v>
      </c>
      <c r="BB3" s="19" t="s">
        <v>321</v>
      </c>
      <c r="BC3" s="19" t="s">
        <v>298</v>
      </c>
      <c r="BD3" s="19" t="s">
        <v>287</v>
      </c>
      <c r="BE3" s="20" t="s">
        <v>812</v>
      </c>
    </row>
    <row r="4" spans="1:57" x14ac:dyDescent="0.3">
      <c r="A4" s="13" t="s">
        <v>40</v>
      </c>
      <c r="B4" s="14" t="s">
        <v>331</v>
      </c>
      <c r="C4" s="14" t="s">
        <v>332</v>
      </c>
      <c r="D4" s="14" t="s">
        <v>333</v>
      </c>
      <c r="E4" s="14" t="s">
        <v>334</v>
      </c>
      <c r="F4" s="14" t="s">
        <v>336</v>
      </c>
      <c r="G4" s="14" t="s">
        <v>337</v>
      </c>
      <c r="H4" s="14" t="s">
        <v>286</v>
      </c>
      <c r="I4" s="14" t="s">
        <v>37</v>
      </c>
      <c r="J4" s="14" t="s">
        <v>38</v>
      </c>
      <c r="K4" s="14" t="s">
        <v>39</v>
      </c>
      <c r="L4" s="21">
        <v>44172</v>
      </c>
      <c r="M4" s="14" t="s">
        <v>85</v>
      </c>
      <c r="N4" s="14" t="s">
        <v>74</v>
      </c>
      <c r="O4" s="14" t="s">
        <v>4</v>
      </c>
      <c r="P4" s="14" t="s">
        <v>4</v>
      </c>
      <c r="Q4" s="14" t="s">
        <v>204</v>
      </c>
      <c r="R4" s="21">
        <v>31938</v>
      </c>
      <c r="S4" s="14" t="s">
        <v>206</v>
      </c>
      <c r="T4" s="14" t="s">
        <v>338</v>
      </c>
      <c r="U4" s="14" t="s">
        <v>339</v>
      </c>
      <c r="V4" s="14" t="s">
        <v>295</v>
      </c>
      <c r="W4" s="14" t="s">
        <v>4</v>
      </c>
      <c r="X4" s="14" t="s">
        <v>296</v>
      </c>
      <c r="Y4" s="14" t="s">
        <v>297</v>
      </c>
      <c r="Z4" s="14" t="s">
        <v>248</v>
      </c>
      <c r="AA4" s="14" t="s">
        <v>4</v>
      </c>
      <c r="AB4" s="14" t="s">
        <v>340</v>
      </c>
      <c r="AC4" s="14" t="s">
        <v>4</v>
      </c>
      <c r="AD4" s="14" t="s">
        <v>341</v>
      </c>
      <c r="AE4" s="14" t="s">
        <v>340</v>
      </c>
      <c r="AF4" s="14" t="s">
        <v>40</v>
      </c>
      <c r="AG4" s="14">
        <v>144000</v>
      </c>
      <c r="AH4" s="14" t="s">
        <v>45</v>
      </c>
      <c r="AI4" s="14">
        <v>100</v>
      </c>
      <c r="AJ4" s="14" t="s">
        <v>102</v>
      </c>
      <c r="AK4" s="14">
        <v>12000</v>
      </c>
      <c r="AL4" s="14">
        <v>174</v>
      </c>
      <c r="AM4" s="14" t="s">
        <v>220</v>
      </c>
      <c r="AN4" s="14" t="s">
        <v>221</v>
      </c>
      <c r="AO4" s="14">
        <v>8</v>
      </c>
      <c r="AP4" s="14">
        <v>5</v>
      </c>
      <c r="AQ4" s="15">
        <v>44140</v>
      </c>
      <c r="AR4" s="14" t="s">
        <v>98</v>
      </c>
      <c r="AS4" s="14" t="s">
        <v>4</v>
      </c>
      <c r="AT4" s="14" t="s">
        <v>4</v>
      </c>
      <c r="AU4" s="14" t="s">
        <v>4</v>
      </c>
      <c r="AV4" s="14" t="s">
        <v>4</v>
      </c>
      <c r="AW4" s="14" t="s">
        <v>342</v>
      </c>
      <c r="AX4" s="14" t="s">
        <v>335</v>
      </c>
      <c r="AY4" s="14" t="s">
        <v>4</v>
      </c>
      <c r="AZ4" s="14" t="s">
        <v>343</v>
      </c>
      <c r="BA4" s="14" t="s">
        <v>344</v>
      </c>
      <c r="BB4" s="14" t="s">
        <v>344</v>
      </c>
      <c r="BC4" s="14" t="s">
        <v>345</v>
      </c>
      <c r="BD4" s="14" t="s">
        <v>287</v>
      </c>
      <c r="BE4" s="16" t="s">
        <v>812</v>
      </c>
    </row>
    <row r="5" spans="1:57" x14ac:dyDescent="0.3">
      <c r="A5" s="18" t="s">
        <v>40</v>
      </c>
      <c r="B5" s="19" t="s">
        <v>331</v>
      </c>
      <c r="C5" s="19" t="s">
        <v>332</v>
      </c>
      <c r="D5" s="19" t="s">
        <v>333</v>
      </c>
      <c r="E5" s="19" t="s">
        <v>334</v>
      </c>
      <c r="F5" s="19" t="s">
        <v>336</v>
      </c>
      <c r="G5" s="19" t="s">
        <v>337</v>
      </c>
      <c r="H5" s="19" t="s">
        <v>286</v>
      </c>
      <c r="I5" s="19" t="s">
        <v>37</v>
      </c>
      <c r="J5" s="19" t="s">
        <v>38</v>
      </c>
      <c r="K5" s="19" t="s">
        <v>39</v>
      </c>
      <c r="L5" s="22">
        <v>44172</v>
      </c>
      <c r="M5" s="19" t="s">
        <v>85</v>
      </c>
      <c r="N5" s="19" t="s">
        <v>74</v>
      </c>
      <c r="O5" s="19" t="s">
        <v>4</v>
      </c>
      <c r="P5" s="19" t="s">
        <v>4</v>
      </c>
      <c r="Q5" s="19" t="s">
        <v>204</v>
      </c>
      <c r="R5" s="22">
        <v>31938</v>
      </c>
      <c r="S5" s="19" t="s">
        <v>206</v>
      </c>
      <c r="T5" s="19" t="s">
        <v>338</v>
      </c>
      <c r="U5" s="19" t="s">
        <v>339</v>
      </c>
      <c r="V5" s="19" t="s">
        <v>295</v>
      </c>
      <c r="W5" s="19" t="s">
        <v>4</v>
      </c>
      <c r="X5" s="19" t="s">
        <v>296</v>
      </c>
      <c r="Y5" s="19" t="s">
        <v>297</v>
      </c>
      <c r="Z5" s="19" t="s">
        <v>288</v>
      </c>
      <c r="AA5" s="19" t="s">
        <v>4</v>
      </c>
      <c r="AB5" s="19" t="s">
        <v>340</v>
      </c>
      <c r="AC5" s="19" t="s">
        <v>4</v>
      </c>
      <c r="AD5" s="19" t="s">
        <v>341</v>
      </c>
      <c r="AE5" s="19" t="s">
        <v>340</v>
      </c>
      <c r="AF5" s="19" t="s">
        <v>40</v>
      </c>
      <c r="AG5" s="19">
        <v>144000</v>
      </c>
      <c r="AH5" s="19" t="s">
        <v>45</v>
      </c>
      <c r="AI5" s="19">
        <v>100</v>
      </c>
      <c r="AJ5" s="19" t="s">
        <v>102</v>
      </c>
      <c r="AK5" s="19">
        <v>12000</v>
      </c>
      <c r="AL5" s="19">
        <v>174</v>
      </c>
      <c r="AM5" s="19" t="s">
        <v>220</v>
      </c>
      <c r="AN5" s="19" t="s">
        <v>221</v>
      </c>
      <c r="AO5" s="19">
        <v>8</v>
      </c>
      <c r="AP5" s="19">
        <v>5</v>
      </c>
      <c r="AQ5" s="23">
        <v>44140</v>
      </c>
      <c r="AR5" s="19" t="s">
        <v>98</v>
      </c>
      <c r="AS5" s="19" t="s">
        <v>4</v>
      </c>
      <c r="AT5" s="19" t="s">
        <v>4</v>
      </c>
      <c r="AU5" s="19" t="s">
        <v>4</v>
      </c>
      <c r="AV5" s="19" t="s">
        <v>4</v>
      </c>
      <c r="AW5" s="19" t="s">
        <v>342</v>
      </c>
      <c r="AX5" s="19" t="s">
        <v>335</v>
      </c>
      <c r="AY5" s="19" t="s">
        <v>4</v>
      </c>
      <c r="AZ5" s="19" t="s">
        <v>343</v>
      </c>
      <c r="BA5" s="19" t="s">
        <v>344</v>
      </c>
      <c r="BB5" s="19" t="s">
        <v>344</v>
      </c>
      <c r="BC5" s="19" t="s">
        <v>345</v>
      </c>
      <c r="BD5" s="19" t="s">
        <v>287</v>
      </c>
      <c r="BE5" s="20" t="s">
        <v>812</v>
      </c>
    </row>
    <row r="6" spans="1:57" x14ac:dyDescent="0.3">
      <c r="A6" s="13" t="s">
        <v>40</v>
      </c>
      <c r="B6" s="14" t="s">
        <v>291</v>
      </c>
      <c r="C6" s="14" t="s">
        <v>292</v>
      </c>
      <c r="D6" s="14" t="s">
        <v>293</v>
      </c>
      <c r="E6" s="14" t="s">
        <v>294</v>
      </c>
      <c r="F6" s="14" t="s">
        <v>346</v>
      </c>
      <c r="G6" s="14" t="s">
        <v>347</v>
      </c>
      <c r="H6" s="14" t="s">
        <v>286</v>
      </c>
      <c r="I6" s="14" t="s">
        <v>37</v>
      </c>
      <c r="J6" s="14" t="s">
        <v>38</v>
      </c>
      <c r="K6" s="14" t="s">
        <v>39</v>
      </c>
      <c r="L6" s="21">
        <v>44151</v>
      </c>
      <c r="M6" s="14" t="s">
        <v>53</v>
      </c>
      <c r="N6" s="14" t="s">
        <v>348</v>
      </c>
      <c r="O6" s="14" t="s">
        <v>4</v>
      </c>
      <c r="P6" s="14" t="s">
        <v>4</v>
      </c>
      <c r="Q6" s="14" t="s">
        <v>204</v>
      </c>
      <c r="R6" s="21">
        <v>30777</v>
      </c>
      <c r="S6" s="14" t="s">
        <v>205</v>
      </c>
      <c r="T6" s="14" t="s">
        <v>349</v>
      </c>
      <c r="U6" s="14" t="s">
        <v>350</v>
      </c>
      <c r="V6" s="14" t="s">
        <v>295</v>
      </c>
      <c r="W6" s="14" t="s">
        <v>4</v>
      </c>
      <c r="X6" s="14" t="s">
        <v>296</v>
      </c>
      <c r="Y6" s="14" t="s">
        <v>297</v>
      </c>
      <c r="Z6" s="14" t="s">
        <v>248</v>
      </c>
      <c r="AA6" s="14" t="s">
        <v>4</v>
      </c>
      <c r="AB6" s="14" t="s">
        <v>351</v>
      </c>
      <c r="AC6" s="14" t="s">
        <v>352</v>
      </c>
      <c r="AD6" s="14" t="s">
        <v>353</v>
      </c>
      <c r="AE6" s="14" t="s">
        <v>309</v>
      </c>
      <c r="AF6" s="14" t="s">
        <v>40</v>
      </c>
      <c r="AG6" s="14">
        <v>254760</v>
      </c>
      <c r="AH6" s="14" t="s">
        <v>45</v>
      </c>
      <c r="AI6" s="14">
        <v>100</v>
      </c>
      <c r="AJ6" s="14" t="s">
        <v>102</v>
      </c>
      <c r="AK6" s="14">
        <v>21230</v>
      </c>
      <c r="AL6" s="14">
        <v>174</v>
      </c>
      <c r="AM6" s="14" t="s">
        <v>220</v>
      </c>
      <c r="AN6" s="14" t="s">
        <v>221</v>
      </c>
      <c r="AO6" s="14">
        <v>8</v>
      </c>
      <c r="AP6" s="14">
        <v>5</v>
      </c>
      <c r="AQ6" s="15">
        <v>44138</v>
      </c>
      <c r="AR6" s="14" t="s">
        <v>88</v>
      </c>
      <c r="AS6" s="14" t="s">
        <v>4</v>
      </c>
      <c r="AT6" s="14" t="s">
        <v>4</v>
      </c>
      <c r="AU6" s="14" t="s">
        <v>4</v>
      </c>
      <c r="AV6" s="14" t="s">
        <v>4</v>
      </c>
      <c r="AW6" s="14" t="s">
        <v>354</v>
      </c>
      <c r="AX6" s="14" t="s">
        <v>355</v>
      </c>
      <c r="AY6" s="14" t="s">
        <v>4</v>
      </c>
      <c r="AZ6" s="14" t="s">
        <v>356</v>
      </c>
      <c r="BA6" s="14" t="s">
        <v>357</v>
      </c>
      <c r="BB6" s="14" t="s">
        <v>357</v>
      </c>
      <c r="BC6" s="14" t="s">
        <v>310</v>
      </c>
      <c r="BD6" s="14" t="s">
        <v>290</v>
      </c>
      <c r="BE6" s="16" t="s">
        <v>812</v>
      </c>
    </row>
    <row r="7" spans="1:57" x14ac:dyDescent="0.3">
      <c r="A7" s="18" t="s">
        <v>40</v>
      </c>
      <c r="B7" s="19" t="s">
        <v>291</v>
      </c>
      <c r="C7" s="19" t="s">
        <v>292</v>
      </c>
      <c r="D7" s="19" t="s">
        <v>293</v>
      </c>
      <c r="E7" s="19" t="s">
        <v>294</v>
      </c>
      <c r="F7" s="19" t="s">
        <v>346</v>
      </c>
      <c r="G7" s="19" t="s">
        <v>347</v>
      </c>
      <c r="H7" s="19" t="s">
        <v>286</v>
      </c>
      <c r="I7" s="19" t="s">
        <v>37</v>
      </c>
      <c r="J7" s="19" t="s">
        <v>38</v>
      </c>
      <c r="K7" s="19" t="s">
        <v>39</v>
      </c>
      <c r="L7" s="22">
        <v>44151</v>
      </c>
      <c r="M7" s="19" t="s">
        <v>53</v>
      </c>
      <c r="N7" s="19" t="s">
        <v>348</v>
      </c>
      <c r="O7" s="19" t="s">
        <v>4</v>
      </c>
      <c r="P7" s="19" t="s">
        <v>4</v>
      </c>
      <c r="Q7" s="19" t="s">
        <v>204</v>
      </c>
      <c r="R7" s="22">
        <v>30777</v>
      </c>
      <c r="S7" s="19" t="s">
        <v>205</v>
      </c>
      <c r="T7" s="19" t="s">
        <v>349</v>
      </c>
      <c r="U7" s="19" t="s">
        <v>350</v>
      </c>
      <c r="V7" s="19" t="s">
        <v>295</v>
      </c>
      <c r="W7" s="19" t="s">
        <v>4</v>
      </c>
      <c r="X7" s="19" t="s">
        <v>296</v>
      </c>
      <c r="Y7" s="19" t="s">
        <v>297</v>
      </c>
      <c r="Z7" s="19" t="s">
        <v>288</v>
      </c>
      <c r="AA7" s="19" t="s">
        <v>4</v>
      </c>
      <c r="AB7" s="19" t="s">
        <v>358</v>
      </c>
      <c r="AC7" s="19" t="s">
        <v>4</v>
      </c>
      <c r="AD7" s="19" t="s">
        <v>359</v>
      </c>
      <c r="AE7" s="19" t="s">
        <v>309</v>
      </c>
      <c r="AF7" s="19" t="s">
        <v>40</v>
      </c>
      <c r="AG7" s="19">
        <v>254760</v>
      </c>
      <c r="AH7" s="19" t="s">
        <v>45</v>
      </c>
      <c r="AI7" s="19">
        <v>100</v>
      </c>
      <c r="AJ7" s="19" t="s">
        <v>102</v>
      </c>
      <c r="AK7" s="19">
        <v>21230</v>
      </c>
      <c r="AL7" s="19">
        <v>174</v>
      </c>
      <c r="AM7" s="19" t="s">
        <v>220</v>
      </c>
      <c r="AN7" s="19" t="s">
        <v>221</v>
      </c>
      <c r="AO7" s="19">
        <v>8</v>
      </c>
      <c r="AP7" s="19">
        <v>5</v>
      </c>
      <c r="AQ7" s="23">
        <v>44138</v>
      </c>
      <c r="AR7" s="19" t="s">
        <v>88</v>
      </c>
      <c r="AS7" s="19" t="s">
        <v>4</v>
      </c>
      <c r="AT7" s="19" t="s">
        <v>4</v>
      </c>
      <c r="AU7" s="19" t="s">
        <v>4</v>
      </c>
      <c r="AV7" s="19" t="s">
        <v>4</v>
      </c>
      <c r="AW7" s="19" t="s">
        <v>354</v>
      </c>
      <c r="AX7" s="19" t="s">
        <v>355</v>
      </c>
      <c r="AY7" s="19" t="s">
        <v>4</v>
      </c>
      <c r="AZ7" s="19" t="s">
        <v>356</v>
      </c>
      <c r="BA7" s="19" t="s">
        <v>357</v>
      </c>
      <c r="BB7" s="19" t="s">
        <v>357</v>
      </c>
      <c r="BC7" s="19" t="s">
        <v>310</v>
      </c>
      <c r="BD7" s="19" t="s">
        <v>290</v>
      </c>
      <c r="BE7" s="20" t="s">
        <v>812</v>
      </c>
    </row>
    <row r="8" spans="1:57" x14ac:dyDescent="0.3">
      <c r="A8" s="13" t="s">
        <v>40</v>
      </c>
      <c r="B8" s="14" t="s">
        <v>291</v>
      </c>
      <c r="C8" s="14" t="s">
        <v>292</v>
      </c>
      <c r="D8" s="14" t="s">
        <v>293</v>
      </c>
      <c r="E8" s="14" t="s">
        <v>294</v>
      </c>
      <c r="F8" s="14" t="s">
        <v>346</v>
      </c>
      <c r="G8" s="14" t="s">
        <v>347</v>
      </c>
      <c r="H8" s="14" t="s">
        <v>286</v>
      </c>
      <c r="I8" s="14" t="s">
        <v>37</v>
      </c>
      <c r="J8" s="14" t="s">
        <v>38</v>
      </c>
      <c r="K8" s="14" t="s">
        <v>39</v>
      </c>
      <c r="L8" s="21">
        <v>44151</v>
      </c>
      <c r="M8" s="14" t="s">
        <v>53</v>
      </c>
      <c r="N8" s="14" t="s">
        <v>348</v>
      </c>
      <c r="O8" s="14" t="s">
        <v>4</v>
      </c>
      <c r="P8" s="14" t="s">
        <v>4</v>
      </c>
      <c r="Q8" s="14" t="s">
        <v>204</v>
      </c>
      <c r="R8" s="21">
        <v>30777</v>
      </c>
      <c r="S8" s="14" t="s">
        <v>205</v>
      </c>
      <c r="T8" s="14" t="s">
        <v>349</v>
      </c>
      <c r="U8" s="14" t="s">
        <v>350</v>
      </c>
      <c r="V8" s="14" t="s">
        <v>295</v>
      </c>
      <c r="W8" s="14" t="s">
        <v>4</v>
      </c>
      <c r="X8" s="14" t="s">
        <v>296</v>
      </c>
      <c r="Y8" s="14" t="s">
        <v>297</v>
      </c>
      <c r="Z8" s="14" t="s">
        <v>288</v>
      </c>
      <c r="AA8" s="14" t="s">
        <v>4</v>
      </c>
      <c r="AB8" s="14" t="s">
        <v>351</v>
      </c>
      <c r="AC8" s="14" t="s">
        <v>352</v>
      </c>
      <c r="AD8" s="14" t="s">
        <v>353</v>
      </c>
      <c r="AE8" s="14" t="s">
        <v>309</v>
      </c>
      <c r="AF8" s="14" t="s">
        <v>40</v>
      </c>
      <c r="AG8" s="14">
        <v>254760</v>
      </c>
      <c r="AH8" s="14" t="s">
        <v>45</v>
      </c>
      <c r="AI8" s="14">
        <v>100</v>
      </c>
      <c r="AJ8" s="14" t="s">
        <v>102</v>
      </c>
      <c r="AK8" s="14">
        <v>21230</v>
      </c>
      <c r="AL8" s="14">
        <v>174</v>
      </c>
      <c r="AM8" s="14" t="s">
        <v>220</v>
      </c>
      <c r="AN8" s="14" t="s">
        <v>221</v>
      </c>
      <c r="AO8" s="14">
        <v>8</v>
      </c>
      <c r="AP8" s="14">
        <v>5</v>
      </c>
      <c r="AQ8" s="15">
        <v>44138</v>
      </c>
      <c r="AR8" s="14" t="s">
        <v>88</v>
      </c>
      <c r="AS8" s="14" t="s">
        <v>4</v>
      </c>
      <c r="AT8" s="14" t="s">
        <v>4</v>
      </c>
      <c r="AU8" s="14" t="s">
        <v>4</v>
      </c>
      <c r="AV8" s="14" t="s">
        <v>4</v>
      </c>
      <c r="AW8" s="14" t="s">
        <v>354</v>
      </c>
      <c r="AX8" s="14" t="s">
        <v>355</v>
      </c>
      <c r="AY8" s="14" t="s">
        <v>4</v>
      </c>
      <c r="AZ8" s="14" t="s">
        <v>356</v>
      </c>
      <c r="BA8" s="14" t="s">
        <v>357</v>
      </c>
      <c r="BB8" s="14" t="s">
        <v>357</v>
      </c>
      <c r="BC8" s="14" t="s">
        <v>310</v>
      </c>
      <c r="BD8" s="14" t="s">
        <v>290</v>
      </c>
      <c r="BE8" s="16" t="s">
        <v>812</v>
      </c>
    </row>
    <row r="9" spans="1:57" x14ac:dyDescent="0.3">
      <c r="A9" s="18" t="s">
        <v>40</v>
      </c>
      <c r="B9" s="19" t="s">
        <v>291</v>
      </c>
      <c r="C9" s="19" t="s">
        <v>292</v>
      </c>
      <c r="D9" s="19" t="s">
        <v>293</v>
      </c>
      <c r="E9" s="19" t="s">
        <v>294</v>
      </c>
      <c r="F9" s="19" t="s">
        <v>360</v>
      </c>
      <c r="G9" s="19" t="s">
        <v>361</v>
      </c>
      <c r="H9" s="19" t="s">
        <v>286</v>
      </c>
      <c r="I9" s="19" t="s">
        <v>37</v>
      </c>
      <c r="J9" s="19" t="s">
        <v>38</v>
      </c>
      <c r="K9" s="19" t="s">
        <v>39</v>
      </c>
      <c r="L9" s="22">
        <v>44144</v>
      </c>
      <c r="M9" s="19" t="s">
        <v>82</v>
      </c>
      <c r="N9" s="19" t="s">
        <v>47</v>
      </c>
      <c r="O9" s="19" t="s">
        <v>4</v>
      </c>
      <c r="P9" s="19" t="s">
        <v>4</v>
      </c>
      <c r="Q9" s="19" t="s">
        <v>207</v>
      </c>
      <c r="R9" s="22">
        <v>33421</v>
      </c>
      <c r="S9" s="19" t="s">
        <v>206</v>
      </c>
      <c r="T9" s="19" t="s">
        <v>362</v>
      </c>
      <c r="U9" s="19" t="s">
        <v>363</v>
      </c>
      <c r="V9" s="19" t="s">
        <v>295</v>
      </c>
      <c r="W9" s="19" t="s">
        <v>4</v>
      </c>
      <c r="X9" s="19" t="s">
        <v>296</v>
      </c>
      <c r="Y9" s="19" t="s">
        <v>297</v>
      </c>
      <c r="Z9" s="19" t="s">
        <v>248</v>
      </c>
      <c r="AA9" s="19" t="s">
        <v>4</v>
      </c>
      <c r="AB9" s="19" t="s">
        <v>364</v>
      </c>
      <c r="AC9" s="19" t="s">
        <v>4</v>
      </c>
      <c r="AD9" s="19" t="s">
        <v>307</v>
      </c>
      <c r="AE9" s="19" t="s">
        <v>260</v>
      </c>
      <c r="AF9" s="19" t="s">
        <v>40</v>
      </c>
      <c r="AG9" s="19">
        <v>300000</v>
      </c>
      <c r="AH9" s="19" t="s">
        <v>45</v>
      </c>
      <c r="AI9" s="19">
        <v>100</v>
      </c>
      <c r="AJ9" s="19" t="s">
        <v>102</v>
      </c>
      <c r="AK9" s="19">
        <v>25000</v>
      </c>
      <c r="AL9" s="19">
        <v>174</v>
      </c>
      <c r="AM9" s="19" t="s">
        <v>220</v>
      </c>
      <c r="AN9" s="19" t="s">
        <v>221</v>
      </c>
      <c r="AO9" s="19">
        <v>8</v>
      </c>
      <c r="AP9" s="19">
        <v>5</v>
      </c>
      <c r="AQ9" s="23">
        <v>44138</v>
      </c>
      <c r="AR9" s="19" t="s">
        <v>99</v>
      </c>
      <c r="AS9" s="19" t="s">
        <v>4</v>
      </c>
      <c r="AT9" s="19" t="s">
        <v>365</v>
      </c>
      <c r="AU9" s="19" t="s">
        <v>4</v>
      </c>
      <c r="AV9" s="19" t="s">
        <v>4</v>
      </c>
      <c r="AW9" s="19" t="s">
        <v>366</v>
      </c>
      <c r="AX9" s="19" t="s">
        <v>367</v>
      </c>
      <c r="AY9" s="19" t="s">
        <v>4</v>
      </c>
      <c r="AZ9" s="19" t="s">
        <v>368</v>
      </c>
      <c r="BA9" s="19" t="s">
        <v>369</v>
      </c>
      <c r="BB9" s="19" t="s">
        <v>369</v>
      </c>
      <c r="BC9" s="19" t="s">
        <v>298</v>
      </c>
      <c r="BD9" s="19" t="s">
        <v>287</v>
      </c>
      <c r="BE9" s="20" t="s">
        <v>812</v>
      </c>
    </row>
    <row r="10" spans="1:57" x14ac:dyDescent="0.3">
      <c r="A10" s="13" t="s">
        <v>40</v>
      </c>
      <c r="B10" s="14" t="s">
        <v>291</v>
      </c>
      <c r="C10" s="14" t="s">
        <v>292</v>
      </c>
      <c r="D10" s="14" t="s">
        <v>293</v>
      </c>
      <c r="E10" s="14" t="s">
        <v>294</v>
      </c>
      <c r="F10" s="14" t="s">
        <v>360</v>
      </c>
      <c r="G10" s="14" t="s">
        <v>361</v>
      </c>
      <c r="H10" s="14" t="s">
        <v>286</v>
      </c>
      <c r="I10" s="14" t="s">
        <v>37</v>
      </c>
      <c r="J10" s="14" t="s">
        <v>38</v>
      </c>
      <c r="K10" s="14" t="s">
        <v>39</v>
      </c>
      <c r="L10" s="21">
        <v>44144</v>
      </c>
      <c r="M10" s="14" t="s">
        <v>82</v>
      </c>
      <c r="N10" s="14" t="s">
        <v>47</v>
      </c>
      <c r="O10" s="14" t="s">
        <v>4</v>
      </c>
      <c r="P10" s="14" t="s">
        <v>4</v>
      </c>
      <c r="Q10" s="14" t="s">
        <v>207</v>
      </c>
      <c r="R10" s="21">
        <v>33421</v>
      </c>
      <c r="S10" s="14" t="s">
        <v>206</v>
      </c>
      <c r="T10" s="14" t="s">
        <v>362</v>
      </c>
      <c r="U10" s="14" t="s">
        <v>363</v>
      </c>
      <c r="V10" s="14" t="s">
        <v>295</v>
      </c>
      <c r="W10" s="14" t="s">
        <v>4</v>
      </c>
      <c r="X10" s="14" t="s">
        <v>296</v>
      </c>
      <c r="Y10" s="14" t="s">
        <v>297</v>
      </c>
      <c r="Z10" s="14" t="s">
        <v>288</v>
      </c>
      <c r="AA10" s="14" t="s">
        <v>4</v>
      </c>
      <c r="AB10" s="14" t="s">
        <v>370</v>
      </c>
      <c r="AC10" s="14" t="s">
        <v>4</v>
      </c>
      <c r="AD10" s="14" t="s">
        <v>371</v>
      </c>
      <c r="AE10" s="14" t="s">
        <v>330</v>
      </c>
      <c r="AF10" s="14" t="s">
        <v>40</v>
      </c>
      <c r="AG10" s="14">
        <v>300000</v>
      </c>
      <c r="AH10" s="14" t="s">
        <v>45</v>
      </c>
      <c r="AI10" s="14">
        <v>100</v>
      </c>
      <c r="AJ10" s="14" t="s">
        <v>102</v>
      </c>
      <c r="AK10" s="14">
        <v>25000</v>
      </c>
      <c r="AL10" s="14">
        <v>174</v>
      </c>
      <c r="AM10" s="14" t="s">
        <v>220</v>
      </c>
      <c r="AN10" s="14" t="s">
        <v>221</v>
      </c>
      <c r="AO10" s="14">
        <v>8</v>
      </c>
      <c r="AP10" s="14">
        <v>5</v>
      </c>
      <c r="AQ10" s="15">
        <v>44138</v>
      </c>
      <c r="AR10" s="14" t="s">
        <v>99</v>
      </c>
      <c r="AS10" s="14" t="s">
        <v>4</v>
      </c>
      <c r="AT10" s="14" t="s">
        <v>365</v>
      </c>
      <c r="AU10" s="14" t="s">
        <v>4</v>
      </c>
      <c r="AV10" s="14" t="s">
        <v>4</v>
      </c>
      <c r="AW10" s="14" t="s">
        <v>366</v>
      </c>
      <c r="AX10" s="14" t="s">
        <v>367</v>
      </c>
      <c r="AY10" s="14" t="s">
        <v>4</v>
      </c>
      <c r="AZ10" s="14" t="s">
        <v>368</v>
      </c>
      <c r="BA10" s="14" t="s">
        <v>369</v>
      </c>
      <c r="BB10" s="14" t="s">
        <v>369</v>
      </c>
      <c r="BC10" s="14" t="s">
        <v>298</v>
      </c>
      <c r="BD10" s="14" t="s">
        <v>287</v>
      </c>
      <c r="BE10" s="16" t="s">
        <v>812</v>
      </c>
    </row>
    <row r="11" spans="1:57" x14ac:dyDescent="0.3">
      <c r="A11" s="18" t="s">
        <v>40</v>
      </c>
      <c r="B11" s="19" t="s">
        <v>291</v>
      </c>
      <c r="C11" s="19" t="s">
        <v>292</v>
      </c>
      <c r="D11" s="19" t="s">
        <v>293</v>
      </c>
      <c r="E11" s="19" t="s">
        <v>294</v>
      </c>
      <c r="F11" s="19" t="s">
        <v>360</v>
      </c>
      <c r="G11" s="19" t="s">
        <v>361</v>
      </c>
      <c r="H11" s="19" t="s">
        <v>286</v>
      </c>
      <c r="I11" s="19" t="s">
        <v>37</v>
      </c>
      <c r="J11" s="19" t="s">
        <v>38</v>
      </c>
      <c r="K11" s="19" t="s">
        <v>39</v>
      </c>
      <c r="L11" s="22">
        <v>44144</v>
      </c>
      <c r="M11" s="19" t="s">
        <v>82</v>
      </c>
      <c r="N11" s="19" t="s">
        <v>47</v>
      </c>
      <c r="O11" s="19" t="s">
        <v>4</v>
      </c>
      <c r="P11" s="19" t="s">
        <v>4</v>
      </c>
      <c r="Q11" s="19" t="s">
        <v>207</v>
      </c>
      <c r="R11" s="22">
        <v>33421</v>
      </c>
      <c r="S11" s="19" t="s">
        <v>206</v>
      </c>
      <c r="T11" s="19" t="s">
        <v>362</v>
      </c>
      <c r="U11" s="19" t="s">
        <v>363</v>
      </c>
      <c r="V11" s="19" t="s">
        <v>295</v>
      </c>
      <c r="W11" s="19" t="s">
        <v>4</v>
      </c>
      <c r="X11" s="19" t="s">
        <v>296</v>
      </c>
      <c r="Y11" s="19" t="s">
        <v>297</v>
      </c>
      <c r="Z11" s="19" t="s">
        <v>288</v>
      </c>
      <c r="AA11" s="19" t="s">
        <v>4</v>
      </c>
      <c r="AB11" s="19" t="s">
        <v>364</v>
      </c>
      <c r="AC11" s="19" t="s">
        <v>4</v>
      </c>
      <c r="AD11" s="19" t="s">
        <v>307</v>
      </c>
      <c r="AE11" s="19" t="s">
        <v>260</v>
      </c>
      <c r="AF11" s="19" t="s">
        <v>40</v>
      </c>
      <c r="AG11" s="19">
        <v>300000</v>
      </c>
      <c r="AH11" s="19" t="s">
        <v>45</v>
      </c>
      <c r="AI11" s="19">
        <v>100</v>
      </c>
      <c r="AJ11" s="19" t="s">
        <v>102</v>
      </c>
      <c r="AK11" s="19">
        <v>25000</v>
      </c>
      <c r="AL11" s="19">
        <v>174</v>
      </c>
      <c r="AM11" s="19" t="s">
        <v>220</v>
      </c>
      <c r="AN11" s="19" t="s">
        <v>221</v>
      </c>
      <c r="AO11" s="19">
        <v>8</v>
      </c>
      <c r="AP11" s="19">
        <v>5</v>
      </c>
      <c r="AQ11" s="23">
        <v>44138</v>
      </c>
      <c r="AR11" s="19" t="s">
        <v>99</v>
      </c>
      <c r="AS11" s="19" t="s">
        <v>4</v>
      </c>
      <c r="AT11" s="19" t="s">
        <v>365</v>
      </c>
      <c r="AU11" s="19" t="s">
        <v>4</v>
      </c>
      <c r="AV11" s="19" t="s">
        <v>4</v>
      </c>
      <c r="AW11" s="19" t="s">
        <v>366</v>
      </c>
      <c r="AX11" s="19" t="s">
        <v>367</v>
      </c>
      <c r="AY11" s="19" t="s">
        <v>4</v>
      </c>
      <c r="AZ11" s="19" t="s">
        <v>368</v>
      </c>
      <c r="BA11" s="19" t="s">
        <v>369</v>
      </c>
      <c r="BB11" s="19" t="s">
        <v>369</v>
      </c>
      <c r="BC11" s="19" t="s">
        <v>298</v>
      </c>
      <c r="BD11" s="19" t="s">
        <v>287</v>
      </c>
      <c r="BE11" s="20" t="s">
        <v>812</v>
      </c>
    </row>
    <row r="12" spans="1:57" x14ac:dyDescent="0.3">
      <c r="A12" s="13" t="s">
        <v>40</v>
      </c>
      <c r="B12" s="14" t="s">
        <v>291</v>
      </c>
      <c r="C12" s="14" t="s">
        <v>292</v>
      </c>
      <c r="D12" s="14" t="s">
        <v>5</v>
      </c>
      <c r="E12" s="14" t="s">
        <v>6</v>
      </c>
      <c r="F12" s="14" t="s">
        <v>441</v>
      </c>
      <c r="G12" s="14" t="s">
        <v>442</v>
      </c>
      <c r="H12" s="14" t="s">
        <v>266</v>
      </c>
      <c r="I12" s="14" t="s">
        <v>37</v>
      </c>
      <c r="J12" s="14" t="s">
        <v>38</v>
      </c>
      <c r="K12" s="14" t="s">
        <v>39</v>
      </c>
      <c r="L12" s="21">
        <v>44137</v>
      </c>
      <c r="M12" s="14" t="s">
        <v>8</v>
      </c>
      <c r="N12" s="14" t="s">
        <v>443</v>
      </c>
      <c r="O12" s="14" t="s">
        <v>4</v>
      </c>
      <c r="P12" s="14" t="s">
        <v>4</v>
      </c>
      <c r="Q12" s="14" t="s">
        <v>207</v>
      </c>
      <c r="R12" s="21">
        <v>34547</v>
      </c>
      <c r="S12" s="14" t="s">
        <v>208</v>
      </c>
      <c r="T12" s="14" t="s">
        <v>323</v>
      </c>
      <c r="U12" s="14" t="s">
        <v>324</v>
      </c>
      <c r="V12" s="14" t="s">
        <v>295</v>
      </c>
      <c r="W12" s="14" t="s">
        <v>4</v>
      </c>
      <c r="X12" s="14" t="s">
        <v>296</v>
      </c>
      <c r="Y12" s="14" t="s">
        <v>297</v>
      </c>
      <c r="Z12" s="14" t="s">
        <v>248</v>
      </c>
      <c r="AA12" s="14" t="s">
        <v>4</v>
      </c>
      <c r="AB12" s="14" t="s">
        <v>444</v>
      </c>
      <c r="AC12" s="14" t="s">
        <v>4</v>
      </c>
      <c r="AD12" s="14" t="s">
        <v>341</v>
      </c>
      <c r="AE12" s="14" t="s">
        <v>340</v>
      </c>
      <c r="AF12" s="14" t="s">
        <v>40</v>
      </c>
      <c r="AG12" s="14">
        <v>144000</v>
      </c>
      <c r="AH12" s="14" t="s">
        <v>45</v>
      </c>
      <c r="AI12" s="14">
        <v>100</v>
      </c>
      <c r="AJ12" s="14" t="s">
        <v>102</v>
      </c>
      <c r="AK12" s="14">
        <v>12000</v>
      </c>
      <c r="AL12" s="14">
        <v>174</v>
      </c>
      <c r="AM12" s="14" t="s">
        <v>220</v>
      </c>
      <c r="AN12" s="14" t="s">
        <v>221</v>
      </c>
      <c r="AO12" s="14">
        <v>8</v>
      </c>
      <c r="AP12" s="14">
        <v>5</v>
      </c>
      <c r="AQ12" s="15">
        <v>44139</v>
      </c>
      <c r="AR12" s="14" t="s">
        <v>108</v>
      </c>
      <c r="AS12" s="14" t="s">
        <v>4</v>
      </c>
      <c r="AT12" s="14" t="s">
        <v>4</v>
      </c>
      <c r="AU12" s="14" t="s">
        <v>4</v>
      </c>
      <c r="AV12" s="14" t="s">
        <v>4</v>
      </c>
      <c r="AW12" s="14" t="s">
        <v>445</v>
      </c>
      <c r="AX12" s="14" t="s">
        <v>426</v>
      </c>
      <c r="AY12" s="14" t="s">
        <v>4</v>
      </c>
      <c r="AZ12" s="14" t="s">
        <v>327</v>
      </c>
      <c r="BA12" s="14" t="s">
        <v>328</v>
      </c>
      <c r="BB12" s="14" t="s">
        <v>328</v>
      </c>
      <c r="BC12" s="14" t="s">
        <v>329</v>
      </c>
      <c r="BD12" s="14" t="s">
        <v>252</v>
      </c>
      <c r="BE12" s="16" t="s">
        <v>812</v>
      </c>
    </row>
    <row r="13" spans="1:57" x14ac:dyDescent="0.3">
      <c r="A13" s="18" t="s">
        <v>40</v>
      </c>
      <c r="B13" s="19" t="s">
        <v>291</v>
      </c>
      <c r="C13" s="19" t="s">
        <v>292</v>
      </c>
      <c r="D13" s="19" t="s">
        <v>5</v>
      </c>
      <c r="E13" s="19" t="s">
        <v>6</v>
      </c>
      <c r="F13" s="19" t="s">
        <v>441</v>
      </c>
      <c r="G13" s="19" t="s">
        <v>442</v>
      </c>
      <c r="H13" s="19" t="s">
        <v>266</v>
      </c>
      <c r="I13" s="19" t="s">
        <v>37</v>
      </c>
      <c r="J13" s="19" t="s">
        <v>38</v>
      </c>
      <c r="K13" s="19" t="s">
        <v>39</v>
      </c>
      <c r="L13" s="22">
        <v>44137</v>
      </c>
      <c r="M13" s="19" t="s">
        <v>8</v>
      </c>
      <c r="N13" s="19" t="s">
        <v>443</v>
      </c>
      <c r="O13" s="19" t="s">
        <v>4</v>
      </c>
      <c r="P13" s="19" t="s">
        <v>4</v>
      </c>
      <c r="Q13" s="19" t="s">
        <v>207</v>
      </c>
      <c r="R13" s="22">
        <v>34547</v>
      </c>
      <c r="S13" s="19" t="s">
        <v>208</v>
      </c>
      <c r="T13" s="19" t="s">
        <v>323</v>
      </c>
      <c r="U13" s="19" t="s">
        <v>324</v>
      </c>
      <c r="V13" s="19" t="s">
        <v>295</v>
      </c>
      <c r="W13" s="19" t="s">
        <v>4</v>
      </c>
      <c r="X13" s="19" t="s">
        <v>296</v>
      </c>
      <c r="Y13" s="19" t="s">
        <v>297</v>
      </c>
      <c r="Z13" s="19" t="s">
        <v>288</v>
      </c>
      <c r="AA13" s="19" t="s">
        <v>4</v>
      </c>
      <c r="AB13" s="19" t="s">
        <v>444</v>
      </c>
      <c r="AC13" s="19" t="s">
        <v>4</v>
      </c>
      <c r="AD13" s="19" t="s">
        <v>341</v>
      </c>
      <c r="AE13" s="19" t="s">
        <v>340</v>
      </c>
      <c r="AF13" s="19" t="s">
        <v>40</v>
      </c>
      <c r="AG13" s="19">
        <v>144000</v>
      </c>
      <c r="AH13" s="19" t="s">
        <v>45</v>
      </c>
      <c r="AI13" s="19">
        <v>100</v>
      </c>
      <c r="AJ13" s="19" t="s">
        <v>102</v>
      </c>
      <c r="AK13" s="19">
        <v>12000</v>
      </c>
      <c r="AL13" s="19">
        <v>174</v>
      </c>
      <c r="AM13" s="19" t="s">
        <v>220</v>
      </c>
      <c r="AN13" s="19" t="s">
        <v>221</v>
      </c>
      <c r="AO13" s="19">
        <v>8</v>
      </c>
      <c r="AP13" s="19">
        <v>5</v>
      </c>
      <c r="AQ13" s="23">
        <v>44139</v>
      </c>
      <c r="AR13" s="19" t="s">
        <v>108</v>
      </c>
      <c r="AS13" s="19" t="s">
        <v>4</v>
      </c>
      <c r="AT13" s="19" t="s">
        <v>4</v>
      </c>
      <c r="AU13" s="19" t="s">
        <v>4</v>
      </c>
      <c r="AV13" s="19" t="s">
        <v>4</v>
      </c>
      <c r="AW13" s="19" t="s">
        <v>445</v>
      </c>
      <c r="AX13" s="19" t="s">
        <v>426</v>
      </c>
      <c r="AY13" s="19" t="s">
        <v>4</v>
      </c>
      <c r="AZ13" s="19" t="s">
        <v>327</v>
      </c>
      <c r="BA13" s="19" t="s">
        <v>328</v>
      </c>
      <c r="BB13" s="19" t="s">
        <v>328</v>
      </c>
      <c r="BC13" s="19" t="s">
        <v>329</v>
      </c>
      <c r="BD13" s="19" t="s">
        <v>252</v>
      </c>
      <c r="BE13" s="20" t="s">
        <v>812</v>
      </c>
    </row>
    <row r="14" spans="1:57" x14ac:dyDescent="0.3">
      <c r="A14" s="13" t="s">
        <v>40</v>
      </c>
      <c r="B14" s="14" t="s">
        <v>291</v>
      </c>
      <c r="C14" s="14" t="s">
        <v>292</v>
      </c>
      <c r="D14" s="14" t="s">
        <v>5</v>
      </c>
      <c r="E14" s="14" t="s">
        <v>6</v>
      </c>
      <c r="F14" s="14" t="s">
        <v>454</v>
      </c>
      <c r="G14" s="14" t="s">
        <v>455</v>
      </c>
      <c r="H14" s="14" t="s">
        <v>266</v>
      </c>
      <c r="I14" s="14" t="s">
        <v>37</v>
      </c>
      <c r="J14" s="14" t="s">
        <v>38</v>
      </c>
      <c r="K14" s="14" t="s">
        <v>39</v>
      </c>
      <c r="L14" s="21">
        <v>44116</v>
      </c>
      <c r="M14" s="14" t="s">
        <v>48</v>
      </c>
      <c r="N14" s="14" t="s">
        <v>456</v>
      </c>
      <c r="O14" s="14" t="s">
        <v>4</v>
      </c>
      <c r="P14" s="14" t="s">
        <v>4</v>
      </c>
      <c r="Q14" s="14" t="s">
        <v>207</v>
      </c>
      <c r="R14" s="21">
        <v>33958</v>
      </c>
      <c r="S14" s="14" t="s">
        <v>208</v>
      </c>
      <c r="T14" s="14" t="s">
        <v>414</v>
      </c>
      <c r="U14" s="14" t="s">
        <v>415</v>
      </c>
      <c r="V14" s="14" t="s">
        <v>295</v>
      </c>
      <c r="W14" s="14" t="s">
        <v>4</v>
      </c>
      <c r="X14" s="14" t="s">
        <v>296</v>
      </c>
      <c r="Y14" s="14" t="s">
        <v>297</v>
      </c>
      <c r="Z14" s="14" t="s">
        <v>248</v>
      </c>
      <c r="AA14" s="14" t="s">
        <v>4</v>
      </c>
      <c r="AB14" s="14" t="s">
        <v>457</v>
      </c>
      <c r="AC14" s="14" t="s">
        <v>4</v>
      </c>
      <c r="AD14" s="14" t="s">
        <v>458</v>
      </c>
      <c r="AE14" s="14" t="s">
        <v>326</v>
      </c>
      <c r="AF14" s="14" t="s">
        <v>40</v>
      </c>
      <c r="AG14" s="14">
        <v>162000</v>
      </c>
      <c r="AH14" s="14" t="s">
        <v>45</v>
      </c>
      <c r="AI14" s="14">
        <v>100</v>
      </c>
      <c r="AJ14" s="14" t="s">
        <v>102</v>
      </c>
      <c r="AK14" s="14">
        <v>13500</v>
      </c>
      <c r="AL14" s="14">
        <v>174</v>
      </c>
      <c r="AM14" s="14" t="s">
        <v>220</v>
      </c>
      <c r="AN14" s="14" t="s">
        <v>221</v>
      </c>
      <c r="AO14" s="14">
        <v>8</v>
      </c>
      <c r="AP14" s="14">
        <v>5</v>
      </c>
      <c r="AQ14" s="15">
        <v>44119</v>
      </c>
      <c r="AR14" s="14" t="s">
        <v>109</v>
      </c>
      <c r="AS14" s="14" t="s">
        <v>4</v>
      </c>
      <c r="AT14" s="14" t="s">
        <v>4</v>
      </c>
      <c r="AU14" s="14" t="s">
        <v>4</v>
      </c>
      <c r="AV14" s="14" t="s">
        <v>4</v>
      </c>
      <c r="AW14" s="14" t="s">
        <v>459</v>
      </c>
      <c r="AX14" s="14" t="s">
        <v>416</v>
      </c>
      <c r="AY14" s="14" t="s">
        <v>4</v>
      </c>
      <c r="AZ14" s="14" t="s">
        <v>417</v>
      </c>
      <c r="BA14" s="14" t="s">
        <v>418</v>
      </c>
      <c r="BB14" s="14" t="s">
        <v>418</v>
      </c>
      <c r="BC14" s="14" t="s">
        <v>329</v>
      </c>
      <c r="BD14" s="14" t="s">
        <v>252</v>
      </c>
      <c r="BE14" s="16" t="s">
        <v>812</v>
      </c>
    </row>
    <row r="15" spans="1:57" x14ac:dyDescent="0.3">
      <c r="A15" s="18" t="s">
        <v>40</v>
      </c>
      <c r="B15" s="19" t="s">
        <v>291</v>
      </c>
      <c r="C15" s="19" t="s">
        <v>292</v>
      </c>
      <c r="D15" s="19" t="s">
        <v>5</v>
      </c>
      <c r="E15" s="19" t="s">
        <v>6</v>
      </c>
      <c r="F15" s="19" t="s">
        <v>454</v>
      </c>
      <c r="G15" s="19" t="s">
        <v>455</v>
      </c>
      <c r="H15" s="19" t="s">
        <v>266</v>
      </c>
      <c r="I15" s="19" t="s">
        <v>37</v>
      </c>
      <c r="J15" s="19" t="s">
        <v>38</v>
      </c>
      <c r="K15" s="19" t="s">
        <v>39</v>
      </c>
      <c r="L15" s="22">
        <v>44116</v>
      </c>
      <c r="M15" s="19" t="s">
        <v>48</v>
      </c>
      <c r="N15" s="19" t="s">
        <v>456</v>
      </c>
      <c r="O15" s="19" t="s">
        <v>4</v>
      </c>
      <c r="P15" s="19" t="s">
        <v>4</v>
      </c>
      <c r="Q15" s="19" t="s">
        <v>207</v>
      </c>
      <c r="R15" s="22">
        <v>33958</v>
      </c>
      <c r="S15" s="19" t="s">
        <v>208</v>
      </c>
      <c r="T15" s="19" t="s">
        <v>414</v>
      </c>
      <c r="U15" s="19" t="s">
        <v>415</v>
      </c>
      <c r="V15" s="19" t="s">
        <v>295</v>
      </c>
      <c r="W15" s="19" t="s">
        <v>4</v>
      </c>
      <c r="X15" s="19" t="s">
        <v>296</v>
      </c>
      <c r="Y15" s="19" t="s">
        <v>297</v>
      </c>
      <c r="Z15" s="19" t="s">
        <v>288</v>
      </c>
      <c r="AA15" s="19" t="s">
        <v>4</v>
      </c>
      <c r="AB15" s="19" t="s">
        <v>457</v>
      </c>
      <c r="AC15" s="19" t="s">
        <v>4</v>
      </c>
      <c r="AD15" s="19" t="s">
        <v>458</v>
      </c>
      <c r="AE15" s="19" t="s">
        <v>326</v>
      </c>
      <c r="AF15" s="19" t="s">
        <v>40</v>
      </c>
      <c r="AG15" s="19">
        <v>162000</v>
      </c>
      <c r="AH15" s="19" t="s">
        <v>45</v>
      </c>
      <c r="AI15" s="19">
        <v>100</v>
      </c>
      <c r="AJ15" s="19" t="s">
        <v>102</v>
      </c>
      <c r="AK15" s="19">
        <v>13500</v>
      </c>
      <c r="AL15" s="19">
        <v>174</v>
      </c>
      <c r="AM15" s="19" t="s">
        <v>220</v>
      </c>
      <c r="AN15" s="19" t="s">
        <v>221</v>
      </c>
      <c r="AO15" s="19">
        <v>8</v>
      </c>
      <c r="AP15" s="19">
        <v>5</v>
      </c>
      <c r="AQ15" s="23">
        <v>44119</v>
      </c>
      <c r="AR15" s="19" t="s">
        <v>109</v>
      </c>
      <c r="AS15" s="19" t="s">
        <v>4</v>
      </c>
      <c r="AT15" s="19" t="s">
        <v>4</v>
      </c>
      <c r="AU15" s="19" t="s">
        <v>4</v>
      </c>
      <c r="AV15" s="19" t="s">
        <v>4</v>
      </c>
      <c r="AW15" s="19" t="s">
        <v>459</v>
      </c>
      <c r="AX15" s="19" t="s">
        <v>416</v>
      </c>
      <c r="AY15" s="19" t="s">
        <v>4</v>
      </c>
      <c r="AZ15" s="19" t="s">
        <v>417</v>
      </c>
      <c r="BA15" s="19" t="s">
        <v>418</v>
      </c>
      <c r="BB15" s="19" t="s">
        <v>418</v>
      </c>
      <c r="BC15" s="19" t="s">
        <v>329</v>
      </c>
      <c r="BD15" s="19" t="s">
        <v>252</v>
      </c>
      <c r="BE15" s="20" t="s">
        <v>812</v>
      </c>
    </row>
    <row r="16" spans="1:57" x14ac:dyDescent="0.3">
      <c r="A16" s="13" t="s">
        <v>40</v>
      </c>
      <c r="B16" s="14" t="s">
        <v>291</v>
      </c>
      <c r="C16" s="14" t="s">
        <v>292</v>
      </c>
      <c r="D16" s="14" t="s">
        <v>5</v>
      </c>
      <c r="E16" s="14" t="s">
        <v>6</v>
      </c>
      <c r="F16" s="14" t="s">
        <v>470</v>
      </c>
      <c r="G16" s="14" t="s">
        <v>471</v>
      </c>
      <c r="H16" s="14" t="s">
        <v>266</v>
      </c>
      <c r="I16" s="14" t="s">
        <v>37</v>
      </c>
      <c r="J16" s="14" t="s">
        <v>38</v>
      </c>
      <c r="K16" s="14" t="s">
        <v>39</v>
      </c>
      <c r="L16" s="21">
        <v>44137</v>
      </c>
      <c r="M16" s="14" t="s">
        <v>50</v>
      </c>
      <c r="N16" s="14" t="s">
        <v>7</v>
      </c>
      <c r="O16" s="14" t="s">
        <v>4</v>
      </c>
      <c r="P16" s="14" t="s">
        <v>4</v>
      </c>
      <c r="Q16" s="14" t="s">
        <v>207</v>
      </c>
      <c r="R16" s="21">
        <v>30464</v>
      </c>
      <c r="S16" s="14" t="s">
        <v>206</v>
      </c>
      <c r="T16" s="14" t="s">
        <v>472</v>
      </c>
      <c r="U16" s="14" t="s">
        <v>473</v>
      </c>
      <c r="V16" s="14" t="s">
        <v>295</v>
      </c>
      <c r="W16" s="14" t="s">
        <v>4</v>
      </c>
      <c r="X16" s="14" t="s">
        <v>296</v>
      </c>
      <c r="Y16" s="14" t="s">
        <v>297</v>
      </c>
      <c r="Z16" s="14" t="s">
        <v>248</v>
      </c>
      <c r="AA16" s="14" t="s">
        <v>4</v>
      </c>
      <c r="AB16" s="14" t="s">
        <v>260</v>
      </c>
      <c r="AC16" s="14" t="s">
        <v>4</v>
      </c>
      <c r="AD16" s="14" t="s">
        <v>261</v>
      </c>
      <c r="AE16" s="14" t="s">
        <v>260</v>
      </c>
      <c r="AF16" s="14" t="s">
        <v>40</v>
      </c>
      <c r="AG16" s="14">
        <v>408000</v>
      </c>
      <c r="AH16" s="14" t="s">
        <v>45</v>
      </c>
      <c r="AI16" s="14">
        <v>100</v>
      </c>
      <c r="AJ16" s="14" t="s">
        <v>102</v>
      </c>
      <c r="AK16" s="14">
        <v>34000</v>
      </c>
      <c r="AL16" s="14">
        <v>174</v>
      </c>
      <c r="AM16" s="14" t="s">
        <v>220</v>
      </c>
      <c r="AN16" s="14" t="s">
        <v>221</v>
      </c>
      <c r="AO16" s="14">
        <v>8</v>
      </c>
      <c r="AP16" s="14">
        <v>5</v>
      </c>
      <c r="AQ16" s="15">
        <v>44140</v>
      </c>
      <c r="AR16" s="14" t="s">
        <v>103</v>
      </c>
      <c r="AS16" s="14" t="s">
        <v>4</v>
      </c>
      <c r="AT16" s="14" t="s">
        <v>4</v>
      </c>
      <c r="AU16" s="14" t="s">
        <v>4</v>
      </c>
      <c r="AV16" s="14" t="s">
        <v>4</v>
      </c>
      <c r="AW16" s="14" t="s">
        <v>474</v>
      </c>
      <c r="AX16" s="14" t="s">
        <v>475</v>
      </c>
      <c r="AY16" s="14" t="s">
        <v>4</v>
      </c>
      <c r="AZ16" s="14" t="s">
        <v>476</v>
      </c>
      <c r="BA16" s="14" t="s">
        <v>477</v>
      </c>
      <c r="BB16" s="14" t="s">
        <v>477</v>
      </c>
      <c r="BC16" s="14" t="s">
        <v>298</v>
      </c>
      <c r="BD16" s="14" t="s">
        <v>252</v>
      </c>
      <c r="BE16" s="16" t="s">
        <v>812</v>
      </c>
    </row>
    <row r="17" spans="1:57" x14ac:dyDescent="0.3">
      <c r="A17" s="18" t="s">
        <v>40</v>
      </c>
      <c r="B17" s="19" t="s">
        <v>291</v>
      </c>
      <c r="C17" s="19" t="s">
        <v>292</v>
      </c>
      <c r="D17" s="19" t="s">
        <v>5</v>
      </c>
      <c r="E17" s="19" t="s">
        <v>6</v>
      </c>
      <c r="F17" s="19" t="s">
        <v>470</v>
      </c>
      <c r="G17" s="19" t="s">
        <v>471</v>
      </c>
      <c r="H17" s="19" t="s">
        <v>266</v>
      </c>
      <c r="I17" s="19" t="s">
        <v>37</v>
      </c>
      <c r="J17" s="19" t="s">
        <v>38</v>
      </c>
      <c r="K17" s="19" t="s">
        <v>39</v>
      </c>
      <c r="L17" s="22">
        <v>44137</v>
      </c>
      <c r="M17" s="19" t="s">
        <v>50</v>
      </c>
      <c r="N17" s="19" t="s">
        <v>7</v>
      </c>
      <c r="O17" s="19" t="s">
        <v>4</v>
      </c>
      <c r="P17" s="19" t="s">
        <v>4</v>
      </c>
      <c r="Q17" s="19" t="s">
        <v>207</v>
      </c>
      <c r="R17" s="22">
        <v>30464</v>
      </c>
      <c r="S17" s="19" t="s">
        <v>206</v>
      </c>
      <c r="T17" s="19" t="s">
        <v>472</v>
      </c>
      <c r="U17" s="19" t="s">
        <v>473</v>
      </c>
      <c r="V17" s="19" t="s">
        <v>295</v>
      </c>
      <c r="W17" s="19" t="s">
        <v>4</v>
      </c>
      <c r="X17" s="19" t="s">
        <v>296</v>
      </c>
      <c r="Y17" s="19" t="s">
        <v>297</v>
      </c>
      <c r="Z17" s="19" t="s">
        <v>288</v>
      </c>
      <c r="AA17" s="19" t="s">
        <v>4</v>
      </c>
      <c r="AB17" s="19" t="s">
        <v>260</v>
      </c>
      <c r="AC17" s="19" t="s">
        <v>4</v>
      </c>
      <c r="AD17" s="19" t="s">
        <v>261</v>
      </c>
      <c r="AE17" s="19" t="s">
        <v>260</v>
      </c>
      <c r="AF17" s="19" t="s">
        <v>40</v>
      </c>
      <c r="AG17" s="19">
        <v>408000</v>
      </c>
      <c r="AH17" s="19" t="s">
        <v>45</v>
      </c>
      <c r="AI17" s="19">
        <v>100</v>
      </c>
      <c r="AJ17" s="19" t="s">
        <v>102</v>
      </c>
      <c r="AK17" s="19">
        <v>34000</v>
      </c>
      <c r="AL17" s="19">
        <v>174</v>
      </c>
      <c r="AM17" s="19" t="s">
        <v>220</v>
      </c>
      <c r="AN17" s="19" t="s">
        <v>221</v>
      </c>
      <c r="AO17" s="19">
        <v>8</v>
      </c>
      <c r="AP17" s="19">
        <v>5</v>
      </c>
      <c r="AQ17" s="23">
        <v>44140</v>
      </c>
      <c r="AR17" s="19" t="s">
        <v>103</v>
      </c>
      <c r="AS17" s="19" t="s">
        <v>4</v>
      </c>
      <c r="AT17" s="19" t="s">
        <v>4</v>
      </c>
      <c r="AU17" s="19" t="s">
        <v>4</v>
      </c>
      <c r="AV17" s="19" t="s">
        <v>4</v>
      </c>
      <c r="AW17" s="19" t="s">
        <v>474</v>
      </c>
      <c r="AX17" s="19" t="s">
        <v>475</v>
      </c>
      <c r="AY17" s="19" t="s">
        <v>4</v>
      </c>
      <c r="AZ17" s="19" t="s">
        <v>476</v>
      </c>
      <c r="BA17" s="19" t="s">
        <v>477</v>
      </c>
      <c r="BB17" s="19" t="s">
        <v>477</v>
      </c>
      <c r="BC17" s="19" t="s">
        <v>298</v>
      </c>
      <c r="BD17" s="19" t="s">
        <v>252</v>
      </c>
      <c r="BE17" s="20" t="s">
        <v>812</v>
      </c>
    </row>
    <row r="18" spans="1:57" x14ac:dyDescent="0.3">
      <c r="A18" s="13" t="s">
        <v>40</v>
      </c>
      <c r="B18" s="14" t="s">
        <v>291</v>
      </c>
      <c r="C18" s="14" t="s">
        <v>292</v>
      </c>
      <c r="D18" s="14" t="s">
        <v>293</v>
      </c>
      <c r="E18" s="14" t="s">
        <v>294</v>
      </c>
      <c r="F18" s="14" t="s">
        <v>490</v>
      </c>
      <c r="G18" s="14" t="s">
        <v>491</v>
      </c>
      <c r="H18" s="14" t="s">
        <v>266</v>
      </c>
      <c r="I18" s="14" t="s">
        <v>37</v>
      </c>
      <c r="J18" s="14" t="s">
        <v>38</v>
      </c>
      <c r="K18" s="14" t="s">
        <v>39</v>
      </c>
      <c r="L18" s="21">
        <v>44144</v>
      </c>
      <c r="M18" s="14" t="s">
        <v>54</v>
      </c>
      <c r="N18" s="14" t="s">
        <v>396</v>
      </c>
      <c r="O18" s="14" t="s">
        <v>4</v>
      </c>
      <c r="P18" s="14" t="s">
        <v>4</v>
      </c>
      <c r="Q18" s="14" t="s">
        <v>207</v>
      </c>
      <c r="R18" s="21">
        <v>34448</v>
      </c>
      <c r="S18" s="14" t="s">
        <v>205</v>
      </c>
      <c r="T18" s="14" t="s">
        <v>461</v>
      </c>
      <c r="U18" s="14" t="s">
        <v>462</v>
      </c>
      <c r="V18" s="14" t="s">
        <v>295</v>
      </c>
      <c r="W18" s="14" t="s">
        <v>4</v>
      </c>
      <c r="X18" s="14" t="s">
        <v>296</v>
      </c>
      <c r="Y18" s="14" t="s">
        <v>297</v>
      </c>
      <c r="Z18" s="14" t="s">
        <v>248</v>
      </c>
      <c r="AA18" s="14" t="s">
        <v>4</v>
      </c>
      <c r="AB18" s="14" t="s">
        <v>492</v>
      </c>
      <c r="AC18" s="14" t="s">
        <v>4</v>
      </c>
      <c r="AD18" s="14" t="s">
        <v>493</v>
      </c>
      <c r="AE18" s="14" t="s">
        <v>309</v>
      </c>
      <c r="AF18" s="14" t="s">
        <v>40</v>
      </c>
      <c r="AG18" s="14">
        <v>204000</v>
      </c>
      <c r="AH18" s="14" t="s">
        <v>45</v>
      </c>
      <c r="AI18" s="14">
        <v>100</v>
      </c>
      <c r="AJ18" s="14" t="s">
        <v>102</v>
      </c>
      <c r="AK18" s="14">
        <v>17000</v>
      </c>
      <c r="AL18" s="14">
        <v>174</v>
      </c>
      <c r="AM18" s="14" t="s">
        <v>220</v>
      </c>
      <c r="AN18" s="14" t="s">
        <v>221</v>
      </c>
      <c r="AO18" s="14">
        <v>8</v>
      </c>
      <c r="AP18" s="14">
        <v>5</v>
      </c>
      <c r="AQ18" s="15">
        <v>44138</v>
      </c>
      <c r="AR18" s="14" t="s">
        <v>109</v>
      </c>
      <c r="AS18" s="14" t="s">
        <v>4</v>
      </c>
      <c r="AT18" s="14" t="s">
        <v>494</v>
      </c>
      <c r="AU18" s="14" t="s">
        <v>4</v>
      </c>
      <c r="AV18" s="14" t="s">
        <v>4</v>
      </c>
      <c r="AW18" s="14" t="s">
        <v>495</v>
      </c>
      <c r="AX18" s="14" t="s">
        <v>355</v>
      </c>
      <c r="AY18" s="14" t="s">
        <v>4</v>
      </c>
      <c r="AZ18" s="14" t="s">
        <v>463</v>
      </c>
      <c r="BA18" s="14" t="s">
        <v>464</v>
      </c>
      <c r="BB18" s="14" t="s">
        <v>464</v>
      </c>
      <c r="BC18" s="14" t="s">
        <v>310</v>
      </c>
      <c r="BD18" s="14" t="s">
        <v>287</v>
      </c>
      <c r="BE18" s="16" t="s">
        <v>812</v>
      </c>
    </row>
    <row r="19" spans="1:57" x14ac:dyDescent="0.3">
      <c r="A19" s="18" t="s">
        <v>40</v>
      </c>
      <c r="B19" s="19" t="s">
        <v>291</v>
      </c>
      <c r="C19" s="19" t="s">
        <v>292</v>
      </c>
      <c r="D19" s="19" t="s">
        <v>293</v>
      </c>
      <c r="E19" s="19" t="s">
        <v>294</v>
      </c>
      <c r="F19" s="19" t="s">
        <v>490</v>
      </c>
      <c r="G19" s="19" t="s">
        <v>491</v>
      </c>
      <c r="H19" s="19" t="s">
        <v>266</v>
      </c>
      <c r="I19" s="19" t="s">
        <v>37</v>
      </c>
      <c r="J19" s="19" t="s">
        <v>38</v>
      </c>
      <c r="K19" s="19" t="s">
        <v>39</v>
      </c>
      <c r="L19" s="22">
        <v>44144</v>
      </c>
      <c r="M19" s="19" t="s">
        <v>54</v>
      </c>
      <c r="N19" s="19" t="s">
        <v>396</v>
      </c>
      <c r="O19" s="19" t="s">
        <v>4</v>
      </c>
      <c r="P19" s="19" t="s">
        <v>4</v>
      </c>
      <c r="Q19" s="19" t="s">
        <v>207</v>
      </c>
      <c r="R19" s="22">
        <v>34448</v>
      </c>
      <c r="S19" s="19" t="s">
        <v>205</v>
      </c>
      <c r="T19" s="19" t="s">
        <v>461</v>
      </c>
      <c r="U19" s="19" t="s">
        <v>462</v>
      </c>
      <c r="V19" s="19" t="s">
        <v>295</v>
      </c>
      <c r="W19" s="19" t="s">
        <v>4</v>
      </c>
      <c r="X19" s="19" t="s">
        <v>296</v>
      </c>
      <c r="Y19" s="19" t="s">
        <v>297</v>
      </c>
      <c r="Z19" s="19" t="s">
        <v>288</v>
      </c>
      <c r="AA19" s="19" t="s">
        <v>4</v>
      </c>
      <c r="AB19" s="19" t="s">
        <v>492</v>
      </c>
      <c r="AC19" s="19" t="s">
        <v>4</v>
      </c>
      <c r="AD19" s="19" t="s">
        <v>493</v>
      </c>
      <c r="AE19" s="19" t="s">
        <v>309</v>
      </c>
      <c r="AF19" s="19" t="s">
        <v>40</v>
      </c>
      <c r="AG19" s="19">
        <v>204000</v>
      </c>
      <c r="AH19" s="19" t="s">
        <v>45</v>
      </c>
      <c r="AI19" s="19">
        <v>100</v>
      </c>
      <c r="AJ19" s="19" t="s">
        <v>102</v>
      </c>
      <c r="AK19" s="19">
        <v>17000</v>
      </c>
      <c r="AL19" s="19">
        <v>174</v>
      </c>
      <c r="AM19" s="19" t="s">
        <v>220</v>
      </c>
      <c r="AN19" s="19" t="s">
        <v>221</v>
      </c>
      <c r="AO19" s="19">
        <v>8</v>
      </c>
      <c r="AP19" s="19">
        <v>5</v>
      </c>
      <c r="AQ19" s="23">
        <v>44138</v>
      </c>
      <c r="AR19" s="19" t="s">
        <v>109</v>
      </c>
      <c r="AS19" s="19" t="s">
        <v>4</v>
      </c>
      <c r="AT19" s="19" t="s">
        <v>494</v>
      </c>
      <c r="AU19" s="19" t="s">
        <v>4</v>
      </c>
      <c r="AV19" s="19" t="s">
        <v>4</v>
      </c>
      <c r="AW19" s="19" t="s">
        <v>495</v>
      </c>
      <c r="AX19" s="19" t="s">
        <v>355</v>
      </c>
      <c r="AY19" s="19" t="s">
        <v>4</v>
      </c>
      <c r="AZ19" s="19" t="s">
        <v>463</v>
      </c>
      <c r="BA19" s="19" t="s">
        <v>464</v>
      </c>
      <c r="BB19" s="19" t="s">
        <v>464</v>
      </c>
      <c r="BC19" s="19" t="s">
        <v>310</v>
      </c>
      <c r="BD19" s="19" t="s">
        <v>287</v>
      </c>
      <c r="BE19" s="20" t="s">
        <v>812</v>
      </c>
    </row>
    <row r="20" spans="1:57" x14ac:dyDescent="0.3">
      <c r="A20" s="13" t="s">
        <v>40</v>
      </c>
      <c r="B20" s="14" t="s">
        <v>291</v>
      </c>
      <c r="C20" s="14" t="s">
        <v>292</v>
      </c>
      <c r="D20" s="14" t="s">
        <v>293</v>
      </c>
      <c r="E20" s="14" t="s">
        <v>294</v>
      </c>
      <c r="F20" s="14" t="s">
        <v>497</v>
      </c>
      <c r="G20" s="14" t="s">
        <v>498</v>
      </c>
      <c r="H20" s="14" t="s">
        <v>266</v>
      </c>
      <c r="I20" s="14" t="s">
        <v>37</v>
      </c>
      <c r="J20" s="14" t="s">
        <v>38</v>
      </c>
      <c r="K20" s="14" t="s">
        <v>39</v>
      </c>
      <c r="L20" s="21">
        <v>44137</v>
      </c>
      <c r="M20" s="14" t="s">
        <v>111</v>
      </c>
      <c r="N20" s="14" t="s">
        <v>499</v>
      </c>
      <c r="O20" s="14" t="s">
        <v>4</v>
      </c>
      <c r="P20" s="14" t="s">
        <v>4</v>
      </c>
      <c r="Q20" s="14" t="s">
        <v>204</v>
      </c>
      <c r="R20" s="21">
        <v>32905</v>
      </c>
      <c r="S20" s="14" t="s">
        <v>208</v>
      </c>
      <c r="T20" s="14" t="s">
        <v>500</v>
      </c>
      <c r="U20" s="14" t="s">
        <v>501</v>
      </c>
      <c r="V20" s="14" t="s">
        <v>295</v>
      </c>
      <c r="W20" s="14" t="s">
        <v>4</v>
      </c>
      <c r="X20" s="14" t="s">
        <v>296</v>
      </c>
      <c r="Y20" s="14" t="s">
        <v>297</v>
      </c>
      <c r="Z20" s="14" t="s">
        <v>248</v>
      </c>
      <c r="AA20" s="14" t="s">
        <v>4</v>
      </c>
      <c r="AB20" s="14" t="s">
        <v>502</v>
      </c>
      <c r="AC20" s="14" t="s">
        <v>503</v>
      </c>
      <c r="AD20" s="14" t="s">
        <v>504</v>
      </c>
      <c r="AE20" s="14" t="s">
        <v>505</v>
      </c>
      <c r="AF20" s="14" t="s">
        <v>40</v>
      </c>
      <c r="AG20" s="14">
        <v>252000</v>
      </c>
      <c r="AH20" s="14" t="s">
        <v>45</v>
      </c>
      <c r="AI20" s="14">
        <v>100</v>
      </c>
      <c r="AJ20" s="14" t="s">
        <v>102</v>
      </c>
      <c r="AK20" s="14">
        <v>21000</v>
      </c>
      <c r="AL20" s="14">
        <v>174</v>
      </c>
      <c r="AM20" s="14" t="s">
        <v>220</v>
      </c>
      <c r="AN20" s="14" t="s">
        <v>221</v>
      </c>
      <c r="AO20" s="14">
        <v>8</v>
      </c>
      <c r="AP20" s="14">
        <v>5</v>
      </c>
      <c r="AQ20" s="15">
        <v>44131</v>
      </c>
      <c r="AR20" s="14" t="s">
        <v>103</v>
      </c>
      <c r="AS20" s="14" t="s">
        <v>4</v>
      </c>
      <c r="AT20" s="14" t="s">
        <v>506</v>
      </c>
      <c r="AU20" s="14" t="s">
        <v>4</v>
      </c>
      <c r="AV20" s="14" t="s">
        <v>4</v>
      </c>
      <c r="AW20" s="14" t="s">
        <v>507</v>
      </c>
      <c r="AX20" s="14" t="s">
        <v>308</v>
      </c>
      <c r="AY20" s="14" t="s">
        <v>4</v>
      </c>
      <c r="AZ20" s="14" t="s">
        <v>508</v>
      </c>
      <c r="BA20" s="14" t="s">
        <v>509</v>
      </c>
      <c r="BB20" s="14" t="s">
        <v>509</v>
      </c>
      <c r="BC20" s="14" t="s">
        <v>310</v>
      </c>
      <c r="BD20" s="14" t="s">
        <v>287</v>
      </c>
      <c r="BE20" s="16" t="s">
        <v>812</v>
      </c>
    </row>
    <row r="21" spans="1:57" x14ac:dyDescent="0.3">
      <c r="A21" s="18" t="s">
        <v>40</v>
      </c>
      <c r="B21" s="19" t="s">
        <v>291</v>
      </c>
      <c r="C21" s="19" t="s">
        <v>292</v>
      </c>
      <c r="D21" s="19" t="s">
        <v>293</v>
      </c>
      <c r="E21" s="19" t="s">
        <v>294</v>
      </c>
      <c r="F21" s="19" t="s">
        <v>497</v>
      </c>
      <c r="G21" s="19" t="s">
        <v>498</v>
      </c>
      <c r="H21" s="19" t="s">
        <v>266</v>
      </c>
      <c r="I21" s="19" t="s">
        <v>37</v>
      </c>
      <c r="J21" s="19" t="s">
        <v>38</v>
      </c>
      <c r="K21" s="19" t="s">
        <v>39</v>
      </c>
      <c r="L21" s="22">
        <v>44137</v>
      </c>
      <c r="M21" s="19" t="s">
        <v>111</v>
      </c>
      <c r="N21" s="19" t="s">
        <v>499</v>
      </c>
      <c r="O21" s="19" t="s">
        <v>4</v>
      </c>
      <c r="P21" s="19" t="s">
        <v>4</v>
      </c>
      <c r="Q21" s="19" t="s">
        <v>204</v>
      </c>
      <c r="R21" s="22">
        <v>32905</v>
      </c>
      <c r="S21" s="19" t="s">
        <v>208</v>
      </c>
      <c r="T21" s="19" t="s">
        <v>500</v>
      </c>
      <c r="U21" s="19" t="s">
        <v>501</v>
      </c>
      <c r="V21" s="19" t="s">
        <v>295</v>
      </c>
      <c r="W21" s="19" t="s">
        <v>4</v>
      </c>
      <c r="X21" s="19" t="s">
        <v>296</v>
      </c>
      <c r="Y21" s="19" t="s">
        <v>297</v>
      </c>
      <c r="Z21" s="19" t="s">
        <v>288</v>
      </c>
      <c r="AA21" s="19" t="s">
        <v>4</v>
      </c>
      <c r="AB21" s="19" t="s">
        <v>502</v>
      </c>
      <c r="AC21" s="19" t="s">
        <v>503</v>
      </c>
      <c r="AD21" s="19" t="s">
        <v>504</v>
      </c>
      <c r="AE21" s="19" t="s">
        <v>505</v>
      </c>
      <c r="AF21" s="19" t="s">
        <v>40</v>
      </c>
      <c r="AG21" s="19">
        <v>252000</v>
      </c>
      <c r="AH21" s="19" t="s">
        <v>45</v>
      </c>
      <c r="AI21" s="19">
        <v>100</v>
      </c>
      <c r="AJ21" s="19" t="s">
        <v>102</v>
      </c>
      <c r="AK21" s="19">
        <v>21000</v>
      </c>
      <c r="AL21" s="19">
        <v>174</v>
      </c>
      <c r="AM21" s="19" t="s">
        <v>220</v>
      </c>
      <c r="AN21" s="19" t="s">
        <v>221</v>
      </c>
      <c r="AO21" s="19">
        <v>8</v>
      </c>
      <c r="AP21" s="19">
        <v>5</v>
      </c>
      <c r="AQ21" s="23">
        <v>44131</v>
      </c>
      <c r="AR21" s="19" t="s">
        <v>103</v>
      </c>
      <c r="AS21" s="19" t="s">
        <v>4</v>
      </c>
      <c r="AT21" s="19" t="s">
        <v>506</v>
      </c>
      <c r="AU21" s="19" t="s">
        <v>4</v>
      </c>
      <c r="AV21" s="19" t="s">
        <v>4</v>
      </c>
      <c r="AW21" s="19" t="s">
        <v>507</v>
      </c>
      <c r="AX21" s="19" t="s">
        <v>308</v>
      </c>
      <c r="AY21" s="19" t="s">
        <v>4</v>
      </c>
      <c r="AZ21" s="19" t="s">
        <v>508</v>
      </c>
      <c r="BA21" s="19" t="s">
        <v>509</v>
      </c>
      <c r="BB21" s="19" t="s">
        <v>509</v>
      </c>
      <c r="BC21" s="19" t="s">
        <v>310</v>
      </c>
      <c r="BD21" s="19" t="s">
        <v>287</v>
      </c>
      <c r="BE21" s="20" t="s">
        <v>812</v>
      </c>
    </row>
    <row r="22" spans="1:57" x14ac:dyDescent="0.3">
      <c r="A22" s="13" t="s">
        <v>40</v>
      </c>
      <c r="B22" s="14" t="s">
        <v>41</v>
      </c>
      <c r="C22" s="14" t="s">
        <v>42</v>
      </c>
      <c r="D22" s="14" t="s">
        <v>5</v>
      </c>
      <c r="E22" s="14" t="s">
        <v>6</v>
      </c>
      <c r="F22" s="14" t="s">
        <v>116</v>
      </c>
      <c r="G22" s="14" t="s">
        <v>117</v>
      </c>
      <c r="H22" s="14" t="s">
        <v>266</v>
      </c>
      <c r="I22" s="14" t="s">
        <v>37</v>
      </c>
      <c r="J22" s="14" t="s">
        <v>38</v>
      </c>
      <c r="K22" s="14" t="s">
        <v>39</v>
      </c>
      <c r="L22" s="21">
        <v>44144</v>
      </c>
      <c r="M22" s="14" t="s">
        <v>118</v>
      </c>
      <c r="N22" s="14" t="s">
        <v>80</v>
      </c>
      <c r="O22" s="14" t="s">
        <v>4</v>
      </c>
      <c r="P22" s="14" t="s">
        <v>4</v>
      </c>
      <c r="Q22" s="14" t="s">
        <v>204</v>
      </c>
      <c r="R22" s="21">
        <v>33231</v>
      </c>
      <c r="S22" s="14" t="s">
        <v>206</v>
      </c>
      <c r="T22" s="14" t="s">
        <v>430</v>
      </c>
      <c r="U22" s="14" t="s">
        <v>429</v>
      </c>
      <c r="V22" s="14" t="s">
        <v>383</v>
      </c>
      <c r="W22" s="14" t="s">
        <v>4</v>
      </c>
      <c r="X22" s="14" t="s">
        <v>160</v>
      </c>
      <c r="Y22" s="14" t="s">
        <v>37</v>
      </c>
      <c r="Z22" s="14" t="s">
        <v>248</v>
      </c>
      <c r="AA22" s="14" t="s">
        <v>4</v>
      </c>
      <c r="AB22" s="14" t="s">
        <v>259</v>
      </c>
      <c r="AC22" s="14" t="s">
        <v>4</v>
      </c>
      <c r="AD22" s="14" t="s">
        <v>257</v>
      </c>
      <c r="AE22" s="14" t="s">
        <v>256</v>
      </c>
      <c r="AF22" s="14" t="s">
        <v>40</v>
      </c>
      <c r="AG22" s="14">
        <v>186000</v>
      </c>
      <c r="AH22" s="14" t="s">
        <v>45</v>
      </c>
      <c r="AI22" s="14">
        <v>100</v>
      </c>
      <c r="AJ22" s="14" t="s">
        <v>102</v>
      </c>
      <c r="AK22" s="14">
        <v>15500</v>
      </c>
      <c r="AL22" s="14">
        <v>174</v>
      </c>
      <c r="AM22" s="14" t="s">
        <v>220</v>
      </c>
      <c r="AN22" s="14" t="s">
        <v>221</v>
      </c>
      <c r="AO22" s="14">
        <v>8</v>
      </c>
      <c r="AP22" s="14">
        <v>5</v>
      </c>
      <c r="AQ22" s="15">
        <v>44138</v>
      </c>
      <c r="AR22" s="14" t="s">
        <v>103</v>
      </c>
      <c r="AS22" s="14" t="s">
        <v>4</v>
      </c>
      <c r="AT22" s="14" t="s">
        <v>4</v>
      </c>
      <c r="AU22" s="14" t="s">
        <v>4</v>
      </c>
      <c r="AV22" s="14" t="s">
        <v>4</v>
      </c>
      <c r="AW22" s="14" t="s">
        <v>510</v>
      </c>
      <c r="AX22" s="14" t="s">
        <v>511</v>
      </c>
      <c r="AY22" s="14" t="s">
        <v>4</v>
      </c>
      <c r="AZ22" s="14" t="s">
        <v>431</v>
      </c>
      <c r="BA22" s="14" t="s">
        <v>432</v>
      </c>
      <c r="BB22" s="14" t="s">
        <v>432</v>
      </c>
      <c r="BC22" s="14" t="s">
        <v>384</v>
      </c>
      <c r="BD22" s="14" t="s">
        <v>252</v>
      </c>
      <c r="BE22" s="16" t="s">
        <v>812</v>
      </c>
    </row>
    <row r="23" spans="1:57" x14ac:dyDescent="0.3">
      <c r="A23" s="18" t="s">
        <v>40</v>
      </c>
      <c r="B23" s="19" t="s">
        <v>41</v>
      </c>
      <c r="C23" s="19" t="s">
        <v>42</v>
      </c>
      <c r="D23" s="19" t="s">
        <v>5</v>
      </c>
      <c r="E23" s="19" t="s">
        <v>6</v>
      </c>
      <c r="F23" s="19" t="s">
        <v>116</v>
      </c>
      <c r="G23" s="19" t="s">
        <v>117</v>
      </c>
      <c r="H23" s="19" t="s">
        <v>266</v>
      </c>
      <c r="I23" s="19" t="s">
        <v>37</v>
      </c>
      <c r="J23" s="19" t="s">
        <v>38</v>
      </c>
      <c r="K23" s="19" t="s">
        <v>39</v>
      </c>
      <c r="L23" s="22">
        <v>44144</v>
      </c>
      <c r="M23" s="19" t="s">
        <v>118</v>
      </c>
      <c r="N23" s="19" t="s">
        <v>80</v>
      </c>
      <c r="O23" s="19" t="s">
        <v>4</v>
      </c>
      <c r="P23" s="19" t="s">
        <v>4</v>
      </c>
      <c r="Q23" s="19" t="s">
        <v>204</v>
      </c>
      <c r="R23" s="22">
        <v>33231</v>
      </c>
      <c r="S23" s="19" t="s">
        <v>206</v>
      </c>
      <c r="T23" s="19" t="s">
        <v>430</v>
      </c>
      <c r="U23" s="19" t="s">
        <v>429</v>
      </c>
      <c r="V23" s="19" t="s">
        <v>383</v>
      </c>
      <c r="W23" s="19" t="s">
        <v>4</v>
      </c>
      <c r="X23" s="19" t="s">
        <v>160</v>
      </c>
      <c r="Y23" s="19" t="s">
        <v>37</v>
      </c>
      <c r="Z23" s="19" t="s">
        <v>288</v>
      </c>
      <c r="AA23" s="19" t="s">
        <v>4</v>
      </c>
      <c r="AB23" s="19" t="s">
        <v>259</v>
      </c>
      <c r="AC23" s="19" t="s">
        <v>4</v>
      </c>
      <c r="AD23" s="19" t="s">
        <v>257</v>
      </c>
      <c r="AE23" s="19" t="s">
        <v>256</v>
      </c>
      <c r="AF23" s="19" t="s">
        <v>40</v>
      </c>
      <c r="AG23" s="19">
        <v>186000</v>
      </c>
      <c r="AH23" s="19" t="s">
        <v>45</v>
      </c>
      <c r="AI23" s="19">
        <v>100</v>
      </c>
      <c r="AJ23" s="19" t="s">
        <v>102</v>
      </c>
      <c r="AK23" s="19">
        <v>15500</v>
      </c>
      <c r="AL23" s="19">
        <v>174</v>
      </c>
      <c r="AM23" s="19" t="s">
        <v>220</v>
      </c>
      <c r="AN23" s="19" t="s">
        <v>221</v>
      </c>
      <c r="AO23" s="19">
        <v>8</v>
      </c>
      <c r="AP23" s="19">
        <v>5</v>
      </c>
      <c r="AQ23" s="23">
        <v>44138</v>
      </c>
      <c r="AR23" s="19" t="s">
        <v>103</v>
      </c>
      <c r="AS23" s="19" t="s">
        <v>4</v>
      </c>
      <c r="AT23" s="19" t="s">
        <v>4</v>
      </c>
      <c r="AU23" s="19" t="s">
        <v>4</v>
      </c>
      <c r="AV23" s="19" t="s">
        <v>4</v>
      </c>
      <c r="AW23" s="19" t="s">
        <v>510</v>
      </c>
      <c r="AX23" s="19" t="s">
        <v>511</v>
      </c>
      <c r="AY23" s="19" t="s">
        <v>4</v>
      </c>
      <c r="AZ23" s="19" t="s">
        <v>431</v>
      </c>
      <c r="BA23" s="19" t="s">
        <v>432</v>
      </c>
      <c r="BB23" s="19" t="s">
        <v>432</v>
      </c>
      <c r="BC23" s="19" t="s">
        <v>384</v>
      </c>
      <c r="BD23" s="19" t="s">
        <v>252</v>
      </c>
      <c r="BE23" s="20" t="s">
        <v>812</v>
      </c>
    </row>
    <row r="24" spans="1:57" x14ac:dyDescent="0.3">
      <c r="A24" s="13" t="s">
        <v>40</v>
      </c>
      <c r="B24" s="14" t="s">
        <v>291</v>
      </c>
      <c r="C24" s="14" t="s">
        <v>292</v>
      </c>
      <c r="D24" s="14" t="s">
        <v>293</v>
      </c>
      <c r="E24" s="14" t="s">
        <v>294</v>
      </c>
      <c r="F24" s="14" t="s">
        <v>512</v>
      </c>
      <c r="G24" s="14" t="s">
        <v>513</v>
      </c>
      <c r="H24" s="14" t="s">
        <v>266</v>
      </c>
      <c r="I24" s="14" t="s">
        <v>37</v>
      </c>
      <c r="J24" s="14" t="s">
        <v>38</v>
      </c>
      <c r="K24" s="14" t="s">
        <v>39</v>
      </c>
      <c r="L24" s="21">
        <v>44151</v>
      </c>
      <c r="M24" s="14" t="s">
        <v>111</v>
      </c>
      <c r="N24" s="14" t="s">
        <v>59</v>
      </c>
      <c r="O24" s="14" t="s">
        <v>4</v>
      </c>
      <c r="P24" s="14" t="s">
        <v>4</v>
      </c>
      <c r="Q24" s="14" t="s">
        <v>204</v>
      </c>
      <c r="R24" s="21">
        <v>33841</v>
      </c>
      <c r="S24" s="14" t="s">
        <v>208</v>
      </c>
      <c r="T24" s="14" t="s">
        <v>424</v>
      </c>
      <c r="U24" s="14" t="s">
        <v>425</v>
      </c>
      <c r="V24" s="14" t="s">
        <v>295</v>
      </c>
      <c r="W24" s="14" t="s">
        <v>4</v>
      </c>
      <c r="X24" s="14" t="s">
        <v>296</v>
      </c>
      <c r="Y24" s="14" t="s">
        <v>297</v>
      </c>
      <c r="Z24" s="14" t="s">
        <v>248</v>
      </c>
      <c r="AA24" s="14" t="s">
        <v>4</v>
      </c>
      <c r="AB24" s="14" t="s">
        <v>514</v>
      </c>
      <c r="AC24" s="14" t="s">
        <v>4</v>
      </c>
      <c r="AD24" s="14" t="s">
        <v>325</v>
      </c>
      <c r="AE24" s="14" t="s">
        <v>326</v>
      </c>
      <c r="AF24" s="14" t="s">
        <v>40</v>
      </c>
      <c r="AG24" s="14">
        <v>204000</v>
      </c>
      <c r="AH24" s="14" t="s">
        <v>45</v>
      </c>
      <c r="AI24" s="14">
        <v>100</v>
      </c>
      <c r="AJ24" s="14" t="s">
        <v>102</v>
      </c>
      <c r="AK24" s="14">
        <v>17000</v>
      </c>
      <c r="AL24" s="14">
        <v>174</v>
      </c>
      <c r="AM24" s="14" t="s">
        <v>220</v>
      </c>
      <c r="AN24" s="14" t="s">
        <v>221</v>
      </c>
      <c r="AO24" s="14">
        <v>8</v>
      </c>
      <c r="AP24" s="14">
        <v>5</v>
      </c>
      <c r="AQ24" s="15">
        <v>44139</v>
      </c>
      <c r="AR24" s="14" t="s">
        <v>103</v>
      </c>
      <c r="AS24" s="14" t="s">
        <v>4</v>
      </c>
      <c r="AT24" s="14" t="s">
        <v>4</v>
      </c>
      <c r="AU24" s="14" t="s">
        <v>4</v>
      </c>
      <c r="AV24" s="14" t="s">
        <v>4</v>
      </c>
      <c r="AW24" s="14" t="s">
        <v>515</v>
      </c>
      <c r="AX24" s="14" t="s">
        <v>516</v>
      </c>
      <c r="AY24" s="14" t="s">
        <v>4</v>
      </c>
      <c r="AZ24" s="14" t="s">
        <v>427</v>
      </c>
      <c r="BA24" s="14" t="s">
        <v>428</v>
      </c>
      <c r="BB24" s="14" t="s">
        <v>428</v>
      </c>
      <c r="BC24" s="14" t="s">
        <v>329</v>
      </c>
      <c r="BD24" s="14" t="s">
        <v>287</v>
      </c>
      <c r="BE24" s="16" t="s">
        <v>812</v>
      </c>
    </row>
    <row r="25" spans="1:57" x14ac:dyDescent="0.3">
      <c r="A25" s="18" t="s">
        <v>40</v>
      </c>
      <c r="B25" s="19" t="s">
        <v>291</v>
      </c>
      <c r="C25" s="19" t="s">
        <v>292</v>
      </c>
      <c r="D25" s="19" t="s">
        <v>293</v>
      </c>
      <c r="E25" s="19" t="s">
        <v>294</v>
      </c>
      <c r="F25" s="19" t="s">
        <v>512</v>
      </c>
      <c r="G25" s="19" t="s">
        <v>513</v>
      </c>
      <c r="H25" s="19" t="s">
        <v>266</v>
      </c>
      <c r="I25" s="19" t="s">
        <v>37</v>
      </c>
      <c r="J25" s="19" t="s">
        <v>38</v>
      </c>
      <c r="K25" s="19" t="s">
        <v>39</v>
      </c>
      <c r="L25" s="22">
        <v>44151</v>
      </c>
      <c r="M25" s="19" t="s">
        <v>111</v>
      </c>
      <c r="N25" s="19" t="s">
        <v>59</v>
      </c>
      <c r="O25" s="19" t="s">
        <v>4</v>
      </c>
      <c r="P25" s="19" t="s">
        <v>4</v>
      </c>
      <c r="Q25" s="19" t="s">
        <v>204</v>
      </c>
      <c r="R25" s="22">
        <v>33841</v>
      </c>
      <c r="S25" s="19" t="s">
        <v>208</v>
      </c>
      <c r="T25" s="19" t="s">
        <v>424</v>
      </c>
      <c r="U25" s="19" t="s">
        <v>425</v>
      </c>
      <c r="V25" s="19" t="s">
        <v>295</v>
      </c>
      <c r="W25" s="19" t="s">
        <v>4</v>
      </c>
      <c r="X25" s="19" t="s">
        <v>296</v>
      </c>
      <c r="Y25" s="19" t="s">
        <v>297</v>
      </c>
      <c r="Z25" s="19" t="s">
        <v>288</v>
      </c>
      <c r="AA25" s="19" t="s">
        <v>4</v>
      </c>
      <c r="AB25" s="19" t="s">
        <v>514</v>
      </c>
      <c r="AC25" s="19" t="s">
        <v>4</v>
      </c>
      <c r="AD25" s="19" t="s">
        <v>325</v>
      </c>
      <c r="AE25" s="19" t="s">
        <v>326</v>
      </c>
      <c r="AF25" s="19" t="s">
        <v>40</v>
      </c>
      <c r="AG25" s="19">
        <v>204000</v>
      </c>
      <c r="AH25" s="19" t="s">
        <v>45</v>
      </c>
      <c r="AI25" s="19">
        <v>100</v>
      </c>
      <c r="AJ25" s="19" t="s">
        <v>102</v>
      </c>
      <c r="AK25" s="19">
        <v>17000</v>
      </c>
      <c r="AL25" s="19">
        <v>174</v>
      </c>
      <c r="AM25" s="19" t="s">
        <v>220</v>
      </c>
      <c r="AN25" s="19" t="s">
        <v>221</v>
      </c>
      <c r="AO25" s="19">
        <v>8</v>
      </c>
      <c r="AP25" s="19">
        <v>5</v>
      </c>
      <c r="AQ25" s="23">
        <v>44139</v>
      </c>
      <c r="AR25" s="19" t="s">
        <v>103</v>
      </c>
      <c r="AS25" s="19" t="s">
        <v>4</v>
      </c>
      <c r="AT25" s="19" t="s">
        <v>4</v>
      </c>
      <c r="AU25" s="19" t="s">
        <v>4</v>
      </c>
      <c r="AV25" s="19" t="s">
        <v>4</v>
      </c>
      <c r="AW25" s="19" t="s">
        <v>515</v>
      </c>
      <c r="AX25" s="19" t="s">
        <v>516</v>
      </c>
      <c r="AY25" s="19" t="s">
        <v>4</v>
      </c>
      <c r="AZ25" s="19" t="s">
        <v>427</v>
      </c>
      <c r="BA25" s="19" t="s">
        <v>428</v>
      </c>
      <c r="BB25" s="19" t="s">
        <v>428</v>
      </c>
      <c r="BC25" s="19" t="s">
        <v>329</v>
      </c>
      <c r="BD25" s="19" t="s">
        <v>287</v>
      </c>
      <c r="BE25" s="20" t="s">
        <v>812</v>
      </c>
    </row>
    <row r="26" spans="1:57" x14ac:dyDescent="0.3">
      <c r="A26" s="13" t="s">
        <v>40</v>
      </c>
      <c r="B26" s="14" t="s">
        <v>291</v>
      </c>
      <c r="C26" s="14" t="s">
        <v>292</v>
      </c>
      <c r="D26" s="14" t="s">
        <v>372</v>
      </c>
      <c r="E26" s="14" t="s">
        <v>373</v>
      </c>
      <c r="F26" s="14" t="s">
        <v>523</v>
      </c>
      <c r="G26" s="14" t="s">
        <v>524</v>
      </c>
      <c r="H26" s="14" t="s">
        <v>266</v>
      </c>
      <c r="I26" s="14" t="s">
        <v>78</v>
      </c>
      <c r="J26" s="14" t="s">
        <v>79</v>
      </c>
      <c r="K26" s="14" t="s">
        <v>107</v>
      </c>
      <c r="L26" s="21">
        <v>44124</v>
      </c>
      <c r="M26" s="14" t="s">
        <v>525</v>
      </c>
      <c r="N26" s="14" t="s">
        <v>526</v>
      </c>
      <c r="O26" s="14" t="s">
        <v>4</v>
      </c>
      <c r="P26" s="14" t="s">
        <v>4</v>
      </c>
      <c r="Q26" s="14" t="s">
        <v>207</v>
      </c>
      <c r="R26" s="21">
        <v>35254</v>
      </c>
      <c r="S26" s="14" t="s">
        <v>208</v>
      </c>
      <c r="T26" s="14" t="s">
        <v>527</v>
      </c>
      <c r="U26" s="14" t="s">
        <v>528</v>
      </c>
      <c r="V26" s="14" t="s">
        <v>289</v>
      </c>
      <c r="W26" s="14" t="s">
        <v>4</v>
      </c>
      <c r="X26" s="14" t="s">
        <v>296</v>
      </c>
      <c r="Y26" s="14" t="s">
        <v>297</v>
      </c>
      <c r="Z26" s="14" t="s">
        <v>248</v>
      </c>
      <c r="AA26" s="14" t="s">
        <v>4</v>
      </c>
      <c r="AB26" s="14" t="s">
        <v>529</v>
      </c>
      <c r="AC26" s="14" t="s">
        <v>4</v>
      </c>
      <c r="AD26" s="14" t="s">
        <v>530</v>
      </c>
      <c r="AE26" s="14" t="s">
        <v>260</v>
      </c>
      <c r="AF26" s="14" t="s">
        <v>40</v>
      </c>
      <c r="AG26" s="14">
        <v>0</v>
      </c>
      <c r="AH26" s="14" t="s">
        <v>45</v>
      </c>
      <c r="AI26" s="14">
        <v>100</v>
      </c>
      <c r="AJ26" s="14" t="s">
        <v>115</v>
      </c>
      <c r="AK26" s="14">
        <v>30</v>
      </c>
      <c r="AL26" s="14">
        <v>174</v>
      </c>
      <c r="AM26" s="14" t="s">
        <v>220</v>
      </c>
      <c r="AN26" s="14" t="s">
        <v>221</v>
      </c>
      <c r="AO26" s="14">
        <v>8</v>
      </c>
      <c r="AP26" s="14">
        <v>5</v>
      </c>
      <c r="AQ26" s="15">
        <v>44119</v>
      </c>
      <c r="AR26" s="14" t="s">
        <v>100</v>
      </c>
      <c r="AS26" s="14" t="s">
        <v>4</v>
      </c>
      <c r="AT26" s="14" t="s">
        <v>531</v>
      </c>
      <c r="AU26" s="14" t="s">
        <v>4</v>
      </c>
      <c r="AV26" s="14" t="s">
        <v>4</v>
      </c>
      <c r="AW26" s="14" t="s">
        <v>532</v>
      </c>
      <c r="AX26" s="14" t="s">
        <v>374</v>
      </c>
      <c r="AY26" s="14" t="s">
        <v>4</v>
      </c>
      <c r="AZ26" s="14" t="s">
        <v>533</v>
      </c>
      <c r="BA26" s="14" t="s">
        <v>534</v>
      </c>
      <c r="BB26" s="14" t="s">
        <v>534</v>
      </c>
      <c r="BC26" s="14" t="s">
        <v>298</v>
      </c>
      <c r="BD26" s="14" t="s">
        <v>287</v>
      </c>
      <c r="BE26" s="16" t="s">
        <v>812</v>
      </c>
    </row>
    <row r="27" spans="1:57" x14ac:dyDescent="0.3">
      <c r="A27" s="18" t="s">
        <v>40</v>
      </c>
      <c r="B27" s="19" t="s">
        <v>291</v>
      </c>
      <c r="C27" s="19" t="s">
        <v>292</v>
      </c>
      <c r="D27" s="19" t="s">
        <v>372</v>
      </c>
      <c r="E27" s="19" t="s">
        <v>373</v>
      </c>
      <c r="F27" s="19" t="s">
        <v>523</v>
      </c>
      <c r="G27" s="19" t="s">
        <v>524</v>
      </c>
      <c r="H27" s="19" t="s">
        <v>266</v>
      </c>
      <c r="I27" s="19" t="s">
        <v>78</v>
      </c>
      <c r="J27" s="19" t="s">
        <v>79</v>
      </c>
      <c r="K27" s="19" t="s">
        <v>107</v>
      </c>
      <c r="L27" s="22">
        <v>44124</v>
      </c>
      <c r="M27" s="19" t="s">
        <v>525</v>
      </c>
      <c r="N27" s="19" t="s">
        <v>526</v>
      </c>
      <c r="O27" s="19" t="s">
        <v>4</v>
      </c>
      <c r="P27" s="19" t="s">
        <v>4</v>
      </c>
      <c r="Q27" s="19" t="s">
        <v>207</v>
      </c>
      <c r="R27" s="22">
        <v>35254</v>
      </c>
      <c r="S27" s="19" t="s">
        <v>208</v>
      </c>
      <c r="T27" s="19" t="s">
        <v>527</v>
      </c>
      <c r="U27" s="19" t="s">
        <v>528</v>
      </c>
      <c r="V27" s="19" t="s">
        <v>289</v>
      </c>
      <c r="W27" s="19" t="s">
        <v>4</v>
      </c>
      <c r="X27" s="19" t="s">
        <v>296</v>
      </c>
      <c r="Y27" s="19" t="s">
        <v>297</v>
      </c>
      <c r="Z27" s="19" t="s">
        <v>288</v>
      </c>
      <c r="AA27" s="19" t="s">
        <v>4</v>
      </c>
      <c r="AB27" s="19" t="s">
        <v>529</v>
      </c>
      <c r="AC27" s="19" t="s">
        <v>4</v>
      </c>
      <c r="AD27" s="19" t="s">
        <v>530</v>
      </c>
      <c r="AE27" s="19" t="s">
        <v>260</v>
      </c>
      <c r="AF27" s="19" t="s">
        <v>40</v>
      </c>
      <c r="AG27" s="19">
        <v>0</v>
      </c>
      <c r="AH27" s="19" t="s">
        <v>45</v>
      </c>
      <c r="AI27" s="19">
        <v>100</v>
      </c>
      <c r="AJ27" s="19" t="s">
        <v>115</v>
      </c>
      <c r="AK27" s="19">
        <v>30</v>
      </c>
      <c r="AL27" s="19">
        <v>174</v>
      </c>
      <c r="AM27" s="19" t="s">
        <v>220</v>
      </c>
      <c r="AN27" s="19" t="s">
        <v>221</v>
      </c>
      <c r="AO27" s="19">
        <v>8</v>
      </c>
      <c r="AP27" s="19">
        <v>5</v>
      </c>
      <c r="AQ27" s="23">
        <v>44119</v>
      </c>
      <c r="AR27" s="19" t="s">
        <v>100</v>
      </c>
      <c r="AS27" s="19" t="s">
        <v>4</v>
      </c>
      <c r="AT27" s="19" t="s">
        <v>531</v>
      </c>
      <c r="AU27" s="19" t="s">
        <v>4</v>
      </c>
      <c r="AV27" s="19" t="s">
        <v>4</v>
      </c>
      <c r="AW27" s="19" t="s">
        <v>532</v>
      </c>
      <c r="AX27" s="19" t="s">
        <v>374</v>
      </c>
      <c r="AY27" s="19" t="s">
        <v>4</v>
      </c>
      <c r="AZ27" s="19" t="s">
        <v>533</v>
      </c>
      <c r="BA27" s="19" t="s">
        <v>534</v>
      </c>
      <c r="BB27" s="19" t="s">
        <v>534</v>
      </c>
      <c r="BC27" s="19" t="s">
        <v>298</v>
      </c>
      <c r="BD27" s="19" t="s">
        <v>287</v>
      </c>
      <c r="BE27" s="20" t="s">
        <v>812</v>
      </c>
    </row>
    <row r="28" spans="1:57" x14ac:dyDescent="0.3">
      <c r="A28" s="13" t="s">
        <v>40</v>
      </c>
      <c r="B28" s="14" t="s">
        <v>41</v>
      </c>
      <c r="C28" s="14" t="s">
        <v>42</v>
      </c>
      <c r="D28" s="14" t="s">
        <v>5</v>
      </c>
      <c r="E28" s="14" t="s">
        <v>6</v>
      </c>
      <c r="F28" s="14" t="s">
        <v>119</v>
      </c>
      <c r="G28" s="14" t="s">
        <v>120</v>
      </c>
      <c r="H28" s="14" t="s">
        <v>266</v>
      </c>
      <c r="I28" s="14" t="s">
        <v>78</v>
      </c>
      <c r="J28" s="14" t="s">
        <v>79</v>
      </c>
      <c r="K28" s="14" t="s">
        <v>107</v>
      </c>
      <c r="L28" s="21">
        <v>44130</v>
      </c>
      <c r="M28" s="14" t="s">
        <v>86</v>
      </c>
      <c r="N28" s="14" t="s">
        <v>121</v>
      </c>
      <c r="O28" s="14" t="s">
        <v>4</v>
      </c>
      <c r="P28" s="14" t="s">
        <v>4</v>
      </c>
      <c r="Q28" s="14" t="s">
        <v>204</v>
      </c>
      <c r="R28" s="21">
        <v>35869</v>
      </c>
      <c r="S28" s="14" t="s">
        <v>208</v>
      </c>
      <c r="T28" s="14" t="s">
        <v>519</v>
      </c>
      <c r="U28" s="14" t="s">
        <v>520</v>
      </c>
      <c r="V28" s="14" t="s">
        <v>289</v>
      </c>
      <c r="W28" s="14" t="s">
        <v>4</v>
      </c>
      <c r="X28" s="14" t="s">
        <v>160</v>
      </c>
      <c r="Y28" s="14" t="s">
        <v>37</v>
      </c>
      <c r="Z28" s="14" t="s">
        <v>248</v>
      </c>
      <c r="AA28" s="14" t="s">
        <v>4</v>
      </c>
      <c r="AB28" s="14" t="s">
        <v>262</v>
      </c>
      <c r="AC28" s="14" t="s">
        <v>4</v>
      </c>
      <c r="AD28" s="14" t="s">
        <v>258</v>
      </c>
      <c r="AE28" s="14" t="s">
        <v>256</v>
      </c>
      <c r="AF28" s="14" t="s">
        <v>40</v>
      </c>
      <c r="AG28" s="14">
        <v>0</v>
      </c>
      <c r="AH28" s="14" t="s">
        <v>45</v>
      </c>
      <c r="AI28" s="14">
        <v>100</v>
      </c>
      <c r="AJ28" s="14" t="s">
        <v>115</v>
      </c>
      <c r="AK28" s="14">
        <v>18.5</v>
      </c>
      <c r="AL28" s="14">
        <v>174</v>
      </c>
      <c r="AM28" s="14" t="s">
        <v>220</v>
      </c>
      <c r="AN28" s="14" t="s">
        <v>221</v>
      </c>
      <c r="AO28" s="14">
        <v>8</v>
      </c>
      <c r="AP28" s="14">
        <v>5</v>
      </c>
      <c r="AQ28" s="15">
        <v>44120</v>
      </c>
      <c r="AR28" s="14" t="s">
        <v>100</v>
      </c>
      <c r="AS28" s="14" t="s">
        <v>4</v>
      </c>
      <c r="AT28" s="14" t="s">
        <v>535</v>
      </c>
      <c r="AU28" s="14" t="s">
        <v>4</v>
      </c>
      <c r="AV28" s="14" t="s">
        <v>4</v>
      </c>
      <c r="AW28" s="14" t="s">
        <v>536</v>
      </c>
      <c r="AX28" s="14" t="s">
        <v>374</v>
      </c>
      <c r="AY28" s="14" t="s">
        <v>4</v>
      </c>
      <c r="AZ28" s="14" t="s">
        <v>521</v>
      </c>
      <c r="BA28" s="14" t="s">
        <v>522</v>
      </c>
      <c r="BB28" s="14" t="s">
        <v>522</v>
      </c>
      <c r="BC28" s="14" t="s">
        <v>384</v>
      </c>
      <c r="BD28" s="14" t="s">
        <v>287</v>
      </c>
      <c r="BE28" s="16" t="s">
        <v>812</v>
      </c>
    </row>
    <row r="29" spans="1:57" x14ac:dyDescent="0.3">
      <c r="A29" s="18" t="s">
        <v>40</v>
      </c>
      <c r="B29" s="19" t="s">
        <v>41</v>
      </c>
      <c r="C29" s="19" t="s">
        <v>42</v>
      </c>
      <c r="D29" s="19" t="s">
        <v>5</v>
      </c>
      <c r="E29" s="19" t="s">
        <v>6</v>
      </c>
      <c r="F29" s="19" t="s">
        <v>119</v>
      </c>
      <c r="G29" s="19" t="s">
        <v>120</v>
      </c>
      <c r="H29" s="19" t="s">
        <v>266</v>
      </c>
      <c r="I29" s="19" t="s">
        <v>78</v>
      </c>
      <c r="J29" s="19" t="s">
        <v>79</v>
      </c>
      <c r="K29" s="19" t="s">
        <v>107</v>
      </c>
      <c r="L29" s="22">
        <v>44130</v>
      </c>
      <c r="M29" s="19" t="s">
        <v>86</v>
      </c>
      <c r="N29" s="19" t="s">
        <v>121</v>
      </c>
      <c r="O29" s="19" t="s">
        <v>4</v>
      </c>
      <c r="P29" s="19" t="s">
        <v>4</v>
      </c>
      <c r="Q29" s="19" t="s">
        <v>204</v>
      </c>
      <c r="R29" s="22">
        <v>35869</v>
      </c>
      <c r="S29" s="19" t="s">
        <v>208</v>
      </c>
      <c r="T29" s="19" t="s">
        <v>519</v>
      </c>
      <c r="U29" s="19" t="s">
        <v>520</v>
      </c>
      <c r="V29" s="19" t="s">
        <v>289</v>
      </c>
      <c r="W29" s="19" t="s">
        <v>4</v>
      </c>
      <c r="X29" s="19" t="s">
        <v>160</v>
      </c>
      <c r="Y29" s="19" t="s">
        <v>37</v>
      </c>
      <c r="Z29" s="19" t="s">
        <v>288</v>
      </c>
      <c r="AA29" s="19" t="s">
        <v>4</v>
      </c>
      <c r="AB29" s="19" t="s">
        <v>262</v>
      </c>
      <c r="AC29" s="19" t="s">
        <v>4</v>
      </c>
      <c r="AD29" s="19" t="s">
        <v>258</v>
      </c>
      <c r="AE29" s="19" t="s">
        <v>256</v>
      </c>
      <c r="AF29" s="19" t="s">
        <v>40</v>
      </c>
      <c r="AG29" s="19">
        <v>0</v>
      </c>
      <c r="AH29" s="19" t="s">
        <v>45</v>
      </c>
      <c r="AI29" s="19">
        <v>100</v>
      </c>
      <c r="AJ29" s="19" t="s">
        <v>115</v>
      </c>
      <c r="AK29" s="19">
        <v>18.5</v>
      </c>
      <c r="AL29" s="19">
        <v>174</v>
      </c>
      <c r="AM29" s="19" t="s">
        <v>220</v>
      </c>
      <c r="AN29" s="19" t="s">
        <v>221</v>
      </c>
      <c r="AO29" s="19">
        <v>8</v>
      </c>
      <c r="AP29" s="19">
        <v>5</v>
      </c>
      <c r="AQ29" s="23">
        <v>44120</v>
      </c>
      <c r="AR29" s="19" t="s">
        <v>100</v>
      </c>
      <c r="AS29" s="19" t="s">
        <v>4</v>
      </c>
      <c r="AT29" s="19" t="s">
        <v>535</v>
      </c>
      <c r="AU29" s="19" t="s">
        <v>4</v>
      </c>
      <c r="AV29" s="19" t="s">
        <v>4</v>
      </c>
      <c r="AW29" s="19" t="s">
        <v>536</v>
      </c>
      <c r="AX29" s="19" t="s">
        <v>374</v>
      </c>
      <c r="AY29" s="19" t="s">
        <v>4</v>
      </c>
      <c r="AZ29" s="19" t="s">
        <v>521</v>
      </c>
      <c r="BA29" s="19" t="s">
        <v>522</v>
      </c>
      <c r="BB29" s="19" t="s">
        <v>522</v>
      </c>
      <c r="BC29" s="19" t="s">
        <v>384</v>
      </c>
      <c r="BD29" s="19" t="s">
        <v>287</v>
      </c>
      <c r="BE29" s="20" t="s">
        <v>812</v>
      </c>
    </row>
    <row r="30" spans="1:57" x14ac:dyDescent="0.3">
      <c r="A30" s="13" t="s">
        <v>40</v>
      </c>
      <c r="B30" s="14" t="s">
        <v>41</v>
      </c>
      <c r="C30" s="14" t="s">
        <v>42</v>
      </c>
      <c r="D30" s="14" t="s">
        <v>43</v>
      </c>
      <c r="E30" s="14" t="s">
        <v>44</v>
      </c>
      <c r="F30" s="14" t="s">
        <v>119</v>
      </c>
      <c r="G30" s="14" t="s">
        <v>120</v>
      </c>
      <c r="H30" s="14" t="s">
        <v>266</v>
      </c>
      <c r="I30" s="14" t="s">
        <v>78</v>
      </c>
      <c r="J30" s="14" t="s">
        <v>79</v>
      </c>
      <c r="K30" s="14" t="s">
        <v>107</v>
      </c>
      <c r="L30" s="21">
        <v>44130</v>
      </c>
      <c r="M30" s="14" t="s">
        <v>86</v>
      </c>
      <c r="N30" s="14" t="s">
        <v>121</v>
      </c>
      <c r="O30" s="14" t="s">
        <v>4</v>
      </c>
      <c r="P30" s="14" t="s">
        <v>4</v>
      </c>
      <c r="Q30" s="14" t="s">
        <v>204</v>
      </c>
      <c r="R30" s="21">
        <v>35869</v>
      </c>
      <c r="S30" s="14" t="s">
        <v>208</v>
      </c>
      <c r="T30" s="14" t="s">
        <v>519</v>
      </c>
      <c r="U30" s="14" t="s">
        <v>520</v>
      </c>
      <c r="V30" s="14" t="s">
        <v>289</v>
      </c>
      <c r="W30" s="14" t="s">
        <v>4</v>
      </c>
      <c r="X30" s="14" t="s">
        <v>160</v>
      </c>
      <c r="Y30" s="14" t="s">
        <v>37</v>
      </c>
      <c r="Z30" s="14" t="s">
        <v>248</v>
      </c>
      <c r="AA30" s="14" t="s">
        <v>4</v>
      </c>
      <c r="AB30" s="14" t="s">
        <v>262</v>
      </c>
      <c r="AC30" s="14" t="s">
        <v>4</v>
      </c>
      <c r="AD30" s="14" t="s">
        <v>258</v>
      </c>
      <c r="AE30" s="14" t="s">
        <v>256</v>
      </c>
      <c r="AF30" s="14" t="s">
        <v>40</v>
      </c>
      <c r="AG30" s="14">
        <v>0</v>
      </c>
      <c r="AH30" s="14" t="s">
        <v>45</v>
      </c>
      <c r="AI30" s="14">
        <v>100</v>
      </c>
      <c r="AJ30" s="14" t="s">
        <v>115</v>
      </c>
      <c r="AK30" s="14">
        <v>18.5</v>
      </c>
      <c r="AL30" s="14">
        <v>174</v>
      </c>
      <c r="AM30" s="14" t="s">
        <v>220</v>
      </c>
      <c r="AN30" s="14" t="s">
        <v>221</v>
      </c>
      <c r="AO30" s="14">
        <v>8</v>
      </c>
      <c r="AP30" s="14">
        <v>5</v>
      </c>
      <c r="AQ30" s="15">
        <v>44120</v>
      </c>
      <c r="AR30" s="14" t="s">
        <v>100</v>
      </c>
      <c r="AS30" s="14" t="s">
        <v>4</v>
      </c>
      <c r="AT30" s="14" t="s">
        <v>535</v>
      </c>
      <c r="AU30" s="14" t="s">
        <v>4</v>
      </c>
      <c r="AV30" s="14" t="s">
        <v>4</v>
      </c>
      <c r="AW30" s="14" t="s">
        <v>536</v>
      </c>
      <c r="AX30" s="14" t="s">
        <v>374</v>
      </c>
      <c r="AY30" s="14" t="s">
        <v>4</v>
      </c>
      <c r="AZ30" s="14" t="s">
        <v>521</v>
      </c>
      <c r="BA30" s="14" t="s">
        <v>522</v>
      </c>
      <c r="BB30" s="14" t="s">
        <v>522</v>
      </c>
      <c r="BC30" s="14" t="s">
        <v>384</v>
      </c>
      <c r="BD30" s="14" t="s">
        <v>287</v>
      </c>
      <c r="BE30" s="16" t="s">
        <v>812</v>
      </c>
    </row>
    <row r="31" spans="1:57" x14ac:dyDescent="0.3">
      <c r="A31" s="18" t="s">
        <v>40</v>
      </c>
      <c r="B31" s="19" t="s">
        <v>41</v>
      </c>
      <c r="C31" s="19" t="s">
        <v>42</v>
      </c>
      <c r="D31" s="19" t="s">
        <v>43</v>
      </c>
      <c r="E31" s="19" t="s">
        <v>44</v>
      </c>
      <c r="F31" s="19" t="s">
        <v>119</v>
      </c>
      <c r="G31" s="19" t="s">
        <v>120</v>
      </c>
      <c r="H31" s="19" t="s">
        <v>266</v>
      </c>
      <c r="I31" s="19" t="s">
        <v>78</v>
      </c>
      <c r="J31" s="19" t="s">
        <v>79</v>
      </c>
      <c r="K31" s="19" t="s">
        <v>107</v>
      </c>
      <c r="L31" s="22">
        <v>44130</v>
      </c>
      <c r="M31" s="19" t="s">
        <v>86</v>
      </c>
      <c r="N31" s="19" t="s">
        <v>121</v>
      </c>
      <c r="O31" s="19" t="s">
        <v>4</v>
      </c>
      <c r="P31" s="19" t="s">
        <v>4</v>
      </c>
      <c r="Q31" s="19" t="s">
        <v>204</v>
      </c>
      <c r="R31" s="22">
        <v>35869</v>
      </c>
      <c r="S31" s="19" t="s">
        <v>208</v>
      </c>
      <c r="T31" s="19" t="s">
        <v>519</v>
      </c>
      <c r="U31" s="19" t="s">
        <v>520</v>
      </c>
      <c r="V31" s="19" t="s">
        <v>289</v>
      </c>
      <c r="W31" s="19" t="s">
        <v>4</v>
      </c>
      <c r="X31" s="19" t="s">
        <v>160</v>
      </c>
      <c r="Y31" s="19" t="s">
        <v>37</v>
      </c>
      <c r="Z31" s="19" t="s">
        <v>288</v>
      </c>
      <c r="AA31" s="19" t="s">
        <v>4</v>
      </c>
      <c r="AB31" s="19" t="s">
        <v>262</v>
      </c>
      <c r="AC31" s="19" t="s">
        <v>4</v>
      </c>
      <c r="AD31" s="19" t="s">
        <v>258</v>
      </c>
      <c r="AE31" s="19" t="s">
        <v>256</v>
      </c>
      <c r="AF31" s="19" t="s">
        <v>40</v>
      </c>
      <c r="AG31" s="19">
        <v>0</v>
      </c>
      <c r="AH31" s="19" t="s">
        <v>45</v>
      </c>
      <c r="AI31" s="19">
        <v>100</v>
      </c>
      <c r="AJ31" s="19" t="s">
        <v>115</v>
      </c>
      <c r="AK31" s="19">
        <v>18.5</v>
      </c>
      <c r="AL31" s="19">
        <v>174</v>
      </c>
      <c r="AM31" s="19" t="s">
        <v>220</v>
      </c>
      <c r="AN31" s="19" t="s">
        <v>221</v>
      </c>
      <c r="AO31" s="19">
        <v>8</v>
      </c>
      <c r="AP31" s="19">
        <v>5</v>
      </c>
      <c r="AQ31" s="23">
        <v>44120</v>
      </c>
      <c r="AR31" s="19" t="s">
        <v>100</v>
      </c>
      <c r="AS31" s="19" t="s">
        <v>4</v>
      </c>
      <c r="AT31" s="19" t="s">
        <v>535</v>
      </c>
      <c r="AU31" s="19" t="s">
        <v>4</v>
      </c>
      <c r="AV31" s="19" t="s">
        <v>4</v>
      </c>
      <c r="AW31" s="19" t="s">
        <v>536</v>
      </c>
      <c r="AX31" s="19" t="s">
        <v>374</v>
      </c>
      <c r="AY31" s="19" t="s">
        <v>4</v>
      </c>
      <c r="AZ31" s="19" t="s">
        <v>521</v>
      </c>
      <c r="BA31" s="19" t="s">
        <v>522</v>
      </c>
      <c r="BB31" s="19" t="s">
        <v>522</v>
      </c>
      <c r="BC31" s="19" t="s">
        <v>384</v>
      </c>
      <c r="BD31" s="19" t="s">
        <v>287</v>
      </c>
      <c r="BE31" s="20" t="s">
        <v>812</v>
      </c>
    </row>
    <row r="32" spans="1:57" x14ac:dyDescent="0.3">
      <c r="A32" s="13" t="s">
        <v>40</v>
      </c>
      <c r="B32" s="14" t="s">
        <v>291</v>
      </c>
      <c r="C32" s="14" t="s">
        <v>292</v>
      </c>
      <c r="D32" s="14" t="s">
        <v>293</v>
      </c>
      <c r="E32" s="14" t="s">
        <v>294</v>
      </c>
      <c r="F32" s="14" t="s">
        <v>537</v>
      </c>
      <c r="G32" s="14" t="s">
        <v>538</v>
      </c>
      <c r="H32" s="14" t="s">
        <v>266</v>
      </c>
      <c r="I32" s="14" t="s">
        <v>37</v>
      </c>
      <c r="J32" s="14" t="s">
        <v>38</v>
      </c>
      <c r="K32" s="14" t="s">
        <v>39</v>
      </c>
      <c r="L32" s="21">
        <v>44151</v>
      </c>
      <c r="M32" s="14" t="s">
        <v>8</v>
      </c>
      <c r="N32" s="14" t="s">
        <v>539</v>
      </c>
      <c r="O32" s="14" t="s">
        <v>4</v>
      </c>
      <c r="P32" s="14" t="s">
        <v>4</v>
      </c>
      <c r="Q32" s="14" t="s">
        <v>204</v>
      </c>
      <c r="R32" s="21">
        <v>31895</v>
      </c>
      <c r="S32" s="14" t="s">
        <v>205</v>
      </c>
      <c r="T32" s="14" t="s">
        <v>500</v>
      </c>
      <c r="U32" s="14" t="s">
        <v>501</v>
      </c>
      <c r="V32" s="14" t="s">
        <v>295</v>
      </c>
      <c r="W32" s="14" t="s">
        <v>4</v>
      </c>
      <c r="X32" s="14" t="s">
        <v>296</v>
      </c>
      <c r="Y32" s="14" t="s">
        <v>297</v>
      </c>
      <c r="Z32" s="14" t="s">
        <v>248</v>
      </c>
      <c r="AA32" s="14" t="s">
        <v>4</v>
      </c>
      <c r="AB32" s="14" t="s">
        <v>540</v>
      </c>
      <c r="AC32" s="14" t="s">
        <v>541</v>
      </c>
      <c r="AD32" s="14" t="s">
        <v>257</v>
      </c>
      <c r="AE32" s="14" t="s">
        <v>309</v>
      </c>
      <c r="AF32" s="14" t="s">
        <v>40</v>
      </c>
      <c r="AG32" s="14">
        <v>264000</v>
      </c>
      <c r="AH32" s="14" t="s">
        <v>45</v>
      </c>
      <c r="AI32" s="14">
        <v>100</v>
      </c>
      <c r="AJ32" s="14" t="s">
        <v>102</v>
      </c>
      <c r="AK32" s="14">
        <v>22000</v>
      </c>
      <c r="AL32" s="14">
        <v>174</v>
      </c>
      <c r="AM32" s="14" t="s">
        <v>220</v>
      </c>
      <c r="AN32" s="14" t="s">
        <v>221</v>
      </c>
      <c r="AO32" s="14">
        <v>8</v>
      </c>
      <c r="AP32" s="14">
        <v>5</v>
      </c>
      <c r="AQ32" s="15">
        <v>44123</v>
      </c>
      <c r="AR32" s="14" t="s">
        <v>99</v>
      </c>
      <c r="AS32" s="14" t="s">
        <v>4</v>
      </c>
      <c r="AT32" s="14" t="s">
        <v>4</v>
      </c>
      <c r="AU32" s="14" t="s">
        <v>4</v>
      </c>
      <c r="AV32" s="14" t="s">
        <v>4</v>
      </c>
      <c r="AW32" s="14" t="s">
        <v>542</v>
      </c>
      <c r="AX32" s="14" t="s">
        <v>308</v>
      </c>
      <c r="AY32" s="14" t="s">
        <v>4</v>
      </c>
      <c r="AZ32" s="14" t="s">
        <v>508</v>
      </c>
      <c r="BA32" s="14" t="s">
        <v>509</v>
      </c>
      <c r="BB32" s="14" t="s">
        <v>509</v>
      </c>
      <c r="BC32" s="14" t="s">
        <v>310</v>
      </c>
      <c r="BD32" s="14" t="s">
        <v>287</v>
      </c>
      <c r="BE32" s="16" t="s">
        <v>812</v>
      </c>
    </row>
    <row r="33" spans="1:57" x14ac:dyDescent="0.3">
      <c r="A33" s="18" t="s">
        <v>40</v>
      </c>
      <c r="B33" s="19" t="s">
        <v>291</v>
      </c>
      <c r="C33" s="19" t="s">
        <v>292</v>
      </c>
      <c r="D33" s="19" t="s">
        <v>293</v>
      </c>
      <c r="E33" s="19" t="s">
        <v>294</v>
      </c>
      <c r="F33" s="19" t="s">
        <v>537</v>
      </c>
      <c r="G33" s="19" t="s">
        <v>538</v>
      </c>
      <c r="H33" s="19" t="s">
        <v>266</v>
      </c>
      <c r="I33" s="19" t="s">
        <v>37</v>
      </c>
      <c r="J33" s="19" t="s">
        <v>38</v>
      </c>
      <c r="K33" s="19" t="s">
        <v>39</v>
      </c>
      <c r="L33" s="22">
        <v>44151</v>
      </c>
      <c r="M33" s="19" t="s">
        <v>8</v>
      </c>
      <c r="N33" s="19" t="s">
        <v>539</v>
      </c>
      <c r="O33" s="19" t="s">
        <v>4</v>
      </c>
      <c r="P33" s="19" t="s">
        <v>4</v>
      </c>
      <c r="Q33" s="19" t="s">
        <v>204</v>
      </c>
      <c r="R33" s="22">
        <v>31895</v>
      </c>
      <c r="S33" s="19" t="s">
        <v>205</v>
      </c>
      <c r="T33" s="19" t="s">
        <v>500</v>
      </c>
      <c r="U33" s="19" t="s">
        <v>501</v>
      </c>
      <c r="V33" s="19" t="s">
        <v>295</v>
      </c>
      <c r="W33" s="19" t="s">
        <v>4</v>
      </c>
      <c r="X33" s="19" t="s">
        <v>296</v>
      </c>
      <c r="Y33" s="19" t="s">
        <v>297</v>
      </c>
      <c r="Z33" s="19" t="s">
        <v>288</v>
      </c>
      <c r="AA33" s="19" t="s">
        <v>4</v>
      </c>
      <c r="AB33" s="19" t="s">
        <v>540</v>
      </c>
      <c r="AC33" s="19" t="s">
        <v>541</v>
      </c>
      <c r="AD33" s="19" t="s">
        <v>257</v>
      </c>
      <c r="AE33" s="19" t="s">
        <v>309</v>
      </c>
      <c r="AF33" s="19" t="s">
        <v>40</v>
      </c>
      <c r="AG33" s="19">
        <v>264000</v>
      </c>
      <c r="AH33" s="19" t="s">
        <v>45</v>
      </c>
      <c r="AI33" s="19">
        <v>100</v>
      </c>
      <c r="AJ33" s="19" t="s">
        <v>102</v>
      </c>
      <c r="AK33" s="19">
        <v>22000</v>
      </c>
      <c r="AL33" s="19">
        <v>174</v>
      </c>
      <c r="AM33" s="19" t="s">
        <v>220</v>
      </c>
      <c r="AN33" s="19" t="s">
        <v>221</v>
      </c>
      <c r="AO33" s="19">
        <v>8</v>
      </c>
      <c r="AP33" s="19">
        <v>5</v>
      </c>
      <c r="AQ33" s="23">
        <v>44123</v>
      </c>
      <c r="AR33" s="19" t="s">
        <v>99</v>
      </c>
      <c r="AS33" s="19" t="s">
        <v>4</v>
      </c>
      <c r="AT33" s="19" t="s">
        <v>4</v>
      </c>
      <c r="AU33" s="19" t="s">
        <v>4</v>
      </c>
      <c r="AV33" s="19" t="s">
        <v>4</v>
      </c>
      <c r="AW33" s="19" t="s">
        <v>542</v>
      </c>
      <c r="AX33" s="19" t="s">
        <v>308</v>
      </c>
      <c r="AY33" s="19" t="s">
        <v>4</v>
      </c>
      <c r="AZ33" s="19" t="s">
        <v>508</v>
      </c>
      <c r="BA33" s="19" t="s">
        <v>509</v>
      </c>
      <c r="BB33" s="19" t="s">
        <v>509</v>
      </c>
      <c r="BC33" s="19" t="s">
        <v>310</v>
      </c>
      <c r="BD33" s="19" t="s">
        <v>287</v>
      </c>
      <c r="BE33" s="20" t="s">
        <v>812</v>
      </c>
    </row>
    <row r="34" spans="1:57" x14ac:dyDescent="0.3">
      <c r="A34" s="13" t="s">
        <v>40</v>
      </c>
      <c r="B34" s="14" t="s">
        <v>291</v>
      </c>
      <c r="C34" s="14" t="s">
        <v>292</v>
      </c>
      <c r="D34" s="14" t="s">
        <v>293</v>
      </c>
      <c r="E34" s="14" t="s">
        <v>294</v>
      </c>
      <c r="F34" s="14" t="s">
        <v>543</v>
      </c>
      <c r="G34" s="14" t="s">
        <v>544</v>
      </c>
      <c r="H34" s="14" t="s">
        <v>266</v>
      </c>
      <c r="I34" s="14" t="s">
        <v>37</v>
      </c>
      <c r="J34" s="14" t="s">
        <v>38</v>
      </c>
      <c r="K34" s="14" t="s">
        <v>39</v>
      </c>
      <c r="L34" s="21">
        <v>44200</v>
      </c>
      <c r="M34" s="14" t="s">
        <v>545</v>
      </c>
      <c r="N34" s="14" t="s">
        <v>485</v>
      </c>
      <c r="O34" s="14" t="s">
        <v>4</v>
      </c>
      <c r="P34" s="14" t="s">
        <v>4</v>
      </c>
      <c r="Q34" s="14" t="s">
        <v>204</v>
      </c>
      <c r="R34" s="21">
        <v>35126</v>
      </c>
      <c r="S34" s="14" t="s">
        <v>208</v>
      </c>
      <c r="T34" s="14" t="s">
        <v>450</v>
      </c>
      <c r="U34" s="14" t="s">
        <v>451</v>
      </c>
      <c r="V34" s="14" t="s">
        <v>295</v>
      </c>
      <c r="W34" s="14" t="s">
        <v>4</v>
      </c>
      <c r="X34" s="14" t="s">
        <v>296</v>
      </c>
      <c r="Y34" s="14" t="s">
        <v>297</v>
      </c>
      <c r="Z34" s="14" t="s">
        <v>248</v>
      </c>
      <c r="AA34" s="14" t="s">
        <v>4</v>
      </c>
      <c r="AB34" s="14" t="s">
        <v>546</v>
      </c>
      <c r="AC34" s="14" t="s">
        <v>4</v>
      </c>
      <c r="AD34" s="14" t="s">
        <v>307</v>
      </c>
      <c r="AE34" s="14" t="s">
        <v>260</v>
      </c>
      <c r="AF34" s="14" t="s">
        <v>40</v>
      </c>
      <c r="AG34" s="14">
        <v>168000</v>
      </c>
      <c r="AH34" s="14" t="s">
        <v>45</v>
      </c>
      <c r="AI34" s="14">
        <v>100</v>
      </c>
      <c r="AJ34" s="14" t="s">
        <v>102</v>
      </c>
      <c r="AK34" s="14">
        <v>14000</v>
      </c>
      <c r="AL34" s="14">
        <v>174</v>
      </c>
      <c r="AM34" s="14" t="s">
        <v>220</v>
      </c>
      <c r="AN34" s="14" t="s">
        <v>221</v>
      </c>
      <c r="AO34" s="14">
        <v>8</v>
      </c>
      <c r="AP34" s="14">
        <v>5</v>
      </c>
      <c r="AQ34" s="15">
        <v>44139</v>
      </c>
      <c r="AR34" s="14" t="s">
        <v>103</v>
      </c>
      <c r="AS34" s="14" t="s">
        <v>4</v>
      </c>
      <c r="AT34" s="14" t="s">
        <v>4</v>
      </c>
      <c r="AU34" s="14" t="s">
        <v>4</v>
      </c>
      <c r="AV34" s="14" t="s">
        <v>4</v>
      </c>
      <c r="AW34" s="14" t="s">
        <v>547</v>
      </c>
      <c r="AX34" s="14" t="s">
        <v>548</v>
      </c>
      <c r="AY34" s="14" t="s">
        <v>4</v>
      </c>
      <c r="AZ34" s="14" t="s">
        <v>452</v>
      </c>
      <c r="BA34" s="14" t="s">
        <v>453</v>
      </c>
      <c r="BB34" s="14" t="s">
        <v>453</v>
      </c>
      <c r="BC34" s="14" t="s">
        <v>298</v>
      </c>
      <c r="BD34" s="14" t="s">
        <v>287</v>
      </c>
      <c r="BE34" s="16" t="s">
        <v>812</v>
      </c>
    </row>
    <row r="35" spans="1:57" x14ac:dyDescent="0.3">
      <c r="A35" s="18" t="s">
        <v>40</v>
      </c>
      <c r="B35" s="19" t="s">
        <v>291</v>
      </c>
      <c r="C35" s="19" t="s">
        <v>292</v>
      </c>
      <c r="D35" s="19" t="s">
        <v>293</v>
      </c>
      <c r="E35" s="19" t="s">
        <v>294</v>
      </c>
      <c r="F35" s="19" t="s">
        <v>543</v>
      </c>
      <c r="G35" s="19" t="s">
        <v>544</v>
      </c>
      <c r="H35" s="19" t="s">
        <v>266</v>
      </c>
      <c r="I35" s="19" t="s">
        <v>37</v>
      </c>
      <c r="J35" s="19" t="s">
        <v>38</v>
      </c>
      <c r="K35" s="19" t="s">
        <v>39</v>
      </c>
      <c r="L35" s="22">
        <v>44200</v>
      </c>
      <c r="M35" s="19" t="s">
        <v>545</v>
      </c>
      <c r="N35" s="19" t="s">
        <v>485</v>
      </c>
      <c r="O35" s="19" t="s">
        <v>4</v>
      </c>
      <c r="P35" s="19" t="s">
        <v>4</v>
      </c>
      <c r="Q35" s="19" t="s">
        <v>204</v>
      </c>
      <c r="R35" s="22">
        <v>35126</v>
      </c>
      <c r="S35" s="19" t="s">
        <v>208</v>
      </c>
      <c r="T35" s="19" t="s">
        <v>450</v>
      </c>
      <c r="U35" s="19" t="s">
        <v>451</v>
      </c>
      <c r="V35" s="19" t="s">
        <v>295</v>
      </c>
      <c r="W35" s="19" t="s">
        <v>4</v>
      </c>
      <c r="X35" s="19" t="s">
        <v>296</v>
      </c>
      <c r="Y35" s="19" t="s">
        <v>297</v>
      </c>
      <c r="Z35" s="19" t="s">
        <v>288</v>
      </c>
      <c r="AA35" s="19" t="s">
        <v>4</v>
      </c>
      <c r="AB35" s="19" t="s">
        <v>546</v>
      </c>
      <c r="AC35" s="19" t="s">
        <v>4</v>
      </c>
      <c r="AD35" s="19" t="s">
        <v>307</v>
      </c>
      <c r="AE35" s="19" t="s">
        <v>260</v>
      </c>
      <c r="AF35" s="19" t="s">
        <v>40</v>
      </c>
      <c r="AG35" s="19">
        <v>168000</v>
      </c>
      <c r="AH35" s="19" t="s">
        <v>45</v>
      </c>
      <c r="AI35" s="19">
        <v>100</v>
      </c>
      <c r="AJ35" s="19" t="s">
        <v>102</v>
      </c>
      <c r="AK35" s="19">
        <v>14000</v>
      </c>
      <c r="AL35" s="19">
        <v>174</v>
      </c>
      <c r="AM35" s="19" t="s">
        <v>220</v>
      </c>
      <c r="AN35" s="19" t="s">
        <v>221</v>
      </c>
      <c r="AO35" s="19">
        <v>8</v>
      </c>
      <c r="AP35" s="19">
        <v>5</v>
      </c>
      <c r="AQ35" s="23">
        <v>44139</v>
      </c>
      <c r="AR35" s="19" t="s">
        <v>103</v>
      </c>
      <c r="AS35" s="19" t="s">
        <v>4</v>
      </c>
      <c r="AT35" s="19" t="s">
        <v>4</v>
      </c>
      <c r="AU35" s="19" t="s">
        <v>4</v>
      </c>
      <c r="AV35" s="19" t="s">
        <v>4</v>
      </c>
      <c r="AW35" s="19" t="s">
        <v>547</v>
      </c>
      <c r="AX35" s="19" t="s">
        <v>548</v>
      </c>
      <c r="AY35" s="19" t="s">
        <v>4</v>
      </c>
      <c r="AZ35" s="19" t="s">
        <v>452</v>
      </c>
      <c r="BA35" s="19" t="s">
        <v>453</v>
      </c>
      <c r="BB35" s="19" t="s">
        <v>453</v>
      </c>
      <c r="BC35" s="19" t="s">
        <v>298</v>
      </c>
      <c r="BD35" s="19" t="s">
        <v>287</v>
      </c>
      <c r="BE35" s="20" t="s">
        <v>812</v>
      </c>
    </row>
    <row r="36" spans="1:57" x14ac:dyDescent="0.3">
      <c r="A36" s="13" t="s">
        <v>40</v>
      </c>
      <c r="B36" s="14" t="s">
        <v>291</v>
      </c>
      <c r="C36" s="14" t="s">
        <v>292</v>
      </c>
      <c r="D36" s="14" t="s">
        <v>293</v>
      </c>
      <c r="E36" s="14" t="s">
        <v>294</v>
      </c>
      <c r="F36" s="14" t="s">
        <v>549</v>
      </c>
      <c r="G36" s="14" t="s">
        <v>550</v>
      </c>
      <c r="H36" s="14" t="s">
        <v>376</v>
      </c>
      <c r="I36" s="14" t="s">
        <v>37</v>
      </c>
      <c r="J36" s="14" t="s">
        <v>38</v>
      </c>
      <c r="K36" s="14" t="s">
        <v>39</v>
      </c>
      <c r="L36" s="21">
        <v>44123</v>
      </c>
      <c r="M36" s="14" t="s">
        <v>52</v>
      </c>
      <c r="N36" s="14" t="s">
        <v>81</v>
      </c>
      <c r="O36" s="14" t="s">
        <v>4</v>
      </c>
      <c r="P36" s="14" t="s">
        <v>4</v>
      </c>
      <c r="Q36" s="14" t="s">
        <v>204</v>
      </c>
      <c r="R36" s="21">
        <v>31352</v>
      </c>
      <c r="S36" s="14" t="s">
        <v>208</v>
      </c>
      <c r="T36" s="14" t="s">
        <v>551</v>
      </c>
      <c r="U36" s="14" t="s">
        <v>552</v>
      </c>
      <c r="V36" s="14" t="s">
        <v>295</v>
      </c>
      <c r="W36" s="14" t="s">
        <v>4</v>
      </c>
      <c r="X36" s="14" t="s">
        <v>296</v>
      </c>
      <c r="Y36" s="14" t="s">
        <v>297</v>
      </c>
      <c r="Z36" s="14" t="s">
        <v>248</v>
      </c>
      <c r="AA36" s="14" t="s">
        <v>4</v>
      </c>
      <c r="AB36" s="14" t="s">
        <v>553</v>
      </c>
      <c r="AC36" s="14" t="s">
        <v>4</v>
      </c>
      <c r="AD36" s="14" t="s">
        <v>554</v>
      </c>
      <c r="AE36" s="14" t="s">
        <v>161</v>
      </c>
      <c r="AF36" s="14" t="s">
        <v>40</v>
      </c>
      <c r="AG36" s="14">
        <v>252228</v>
      </c>
      <c r="AH36" s="14" t="s">
        <v>45</v>
      </c>
      <c r="AI36" s="14">
        <v>100</v>
      </c>
      <c r="AJ36" s="14" t="s">
        <v>102</v>
      </c>
      <c r="AK36" s="14">
        <v>21019</v>
      </c>
      <c r="AL36" s="14">
        <v>174</v>
      </c>
      <c r="AM36" s="14" t="s">
        <v>220</v>
      </c>
      <c r="AN36" s="14" t="s">
        <v>221</v>
      </c>
      <c r="AO36" s="14">
        <v>8</v>
      </c>
      <c r="AP36" s="14">
        <v>5</v>
      </c>
      <c r="AQ36" s="15">
        <v>44123</v>
      </c>
      <c r="AR36" s="14" t="s">
        <v>99</v>
      </c>
      <c r="AS36" s="14" t="s">
        <v>4</v>
      </c>
      <c r="AT36" s="14" t="s">
        <v>555</v>
      </c>
      <c r="AU36" s="14" t="s">
        <v>4</v>
      </c>
      <c r="AV36" s="14" t="s">
        <v>4</v>
      </c>
      <c r="AW36" s="14" t="s">
        <v>556</v>
      </c>
      <c r="AX36" s="14" t="s">
        <v>413</v>
      </c>
      <c r="AY36" s="14" t="s">
        <v>4</v>
      </c>
      <c r="AZ36" s="14" t="s">
        <v>557</v>
      </c>
      <c r="BA36" s="14" t="s">
        <v>558</v>
      </c>
      <c r="BB36" s="14" t="s">
        <v>558</v>
      </c>
      <c r="BC36" s="14" t="s">
        <v>298</v>
      </c>
      <c r="BD36" s="14" t="s">
        <v>290</v>
      </c>
      <c r="BE36" s="16" t="s">
        <v>812</v>
      </c>
    </row>
    <row r="37" spans="1:57" x14ac:dyDescent="0.3">
      <c r="A37" s="18" t="s">
        <v>40</v>
      </c>
      <c r="B37" s="19" t="s">
        <v>291</v>
      </c>
      <c r="C37" s="19" t="s">
        <v>292</v>
      </c>
      <c r="D37" s="19" t="s">
        <v>293</v>
      </c>
      <c r="E37" s="19" t="s">
        <v>294</v>
      </c>
      <c r="F37" s="19" t="s">
        <v>549</v>
      </c>
      <c r="G37" s="19" t="s">
        <v>550</v>
      </c>
      <c r="H37" s="19" t="s">
        <v>376</v>
      </c>
      <c r="I37" s="19" t="s">
        <v>37</v>
      </c>
      <c r="J37" s="19" t="s">
        <v>38</v>
      </c>
      <c r="K37" s="19" t="s">
        <v>39</v>
      </c>
      <c r="L37" s="22">
        <v>44123</v>
      </c>
      <c r="M37" s="19" t="s">
        <v>52</v>
      </c>
      <c r="N37" s="19" t="s">
        <v>81</v>
      </c>
      <c r="O37" s="19" t="s">
        <v>4</v>
      </c>
      <c r="P37" s="19" t="s">
        <v>4</v>
      </c>
      <c r="Q37" s="19" t="s">
        <v>204</v>
      </c>
      <c r="R37" s="22">
        <v>31352</v>
      </c>
      <c r="S37" s="19" t="s">
        <v>208</v>
      </c>
      <c r="T37" s="19" t="s">
        <v>551</v>
      </c>
      <c r="U37" s="19" t="s">
        <v>552</v>
      </c>
      <c r="V37" s="19" t="s">
        <v>295</v>
      </c>
      <c r="W37" s="19" t="s">
        <v>4</v>
      </c>
      <c r="X37" s="19" t="s">
        <v>296</v>
      </c>
      <c r="Y37" s="19" t="s">
        <v>297</v>
      </c>
      <c r="Z37" s="19" t="s">
        <v>288</v>
      </c>
      <c r="AA37" s="19" t="s">
        <v>4</v>
      </c>
      <c r="AB37" s="19" t="s">
        <v>553</v>
      </c>
      <c r="AC37" s="19" t="s">
        <v>4</v>
      </c>
      <c r="AD37" s="19" t="s">
        <v>554</v>
      </c>
      <c r="AE37" s="19" t="s">
        <v>161</v>
      </c>
      <c r="AF37" s="19" t="s">
        <v>40</v>
      </c>
      <c r="AG37" s="19">
        <v>252228</v>
      </c>
      <c r="AH37" s="19" t="s">
        <v>45</v>
      </c>
      <c r="AI37" s="19">
        <v>100</v>
      </c>
      <c r="AJ37" s="19" t="s">
        <v>102</v>
      </c>
      <c r="AK37" s="19">
        <v>21019</v>
      </c>
      <c r="AL37" s="19">
        <v>174</v>
      </c>
      <c r="AM37" s="19" t="s">
        <v>220</v>
      </c>
      <c r="AN37" s="19" t="s">
        <v>221</v>
      </c>
      <c r="AO37" s="19">
        <v>8</v>
      </c>
      <c r="AP37" s="19">
        <v>5</v>
      </c>
      <c r="AQ37" s="23">
        <v>44123</v>
      </c>
      <c r="AR37" s="19" t="s">
        <v>99</v>
      </c>
      <c r="AS37" s="19" t="s">
        <v>4</v>
      </c>
      <c r="AT37" s="19" t="s">
        <v>555</v>
      </c>
      <c r="AU37" s="19" t="s">
        <v>4</v>
      </c>
      <c r="AV37" s="19" t="s">
        <v>4</v>
      </c>
      <c r="AW37" s="19" t="s">
        <v>556</v>
      </c>
      <c r="AX37" s="19" t="s">
        <v>413</v>
      </c>
      <c r="AY37" s="19" t="s">
        <v>4</v>
      </c>
      <c r="AZ37" s="19" t="s">
        <v>557</v>
      </c>
      <c r="BA37" s="19" t="s">
        <v>558</v>
      </c>
      <c r="BB37" s="19" t="s">
        <v>558</v>
      </c>
      <c r="BC37" s="19" t="s">
        <v>298</v>
      </c>
      <c r="BD37" s="19" t="s">
        <v>290</v>
      </c>
      <c r="BE37" s="20" t="s">
        <v>812</v>
      </c>
    </row>
    <row r="38" spans="1:57" x14ac:dyDescent="0.3">
      <c r="A38" s="13" t="s">
        <v>40</v>
      </c>
      <c r="B38" s="14" t="s">
        <v>291</v>
      </c>
      <c r="C38" s="14" t="s">
        <v>292</v>
      </c>
      <c r="D38" s="14" t="s">
        <v>372</v>
      </c>
      <c r="E38" s="14" t="s">
        <v>373</v>
      </c>
      <c r="F38" s="14" t="s">
        <v>559</v>
      </c>
      <c r="G38" s="14" t="s">
        <v>560</v>
      </c>
      <c r="H38" s="14" t="s">
        <v>266</v>
      </c>
      <c r="I38" s="14" t="s">
        <v>78</v>
      </c>
      <c r="J38" s="14" t="s">
        <v>79</v>
      </c>
      <c r="K38" s="14" t="s">
        <v>107</v>
      </c>
      <c r="L38" s="21">
        <v>44124</v>
      </c>
      <c r="M38" s="14" t="s">
        <v>54</v>
      </c>
      <c r="N38" s="14" t="s">
        <v>561</v>
      </c>
      <c r="O38" s="14" t="s">
        <v>4</v>
      </c>
      <c r="P38" s="14" t="s">
        <v>4</v>
      </c>
      <c r="Q38" s="14" t="s">
        <v>207</v>
      </c>
      <c r="R38" s="21">
        <v>34681</v>
      </c>
      <c r="S38" s="14" t="s">
        <v>208</v>
      </c>
      <c r="T38" s="14" t="s">
        <v>313</v>
      </c>
      <c r="U38" s="14" t="s">
        <v>314</v>
      </c>
      <c r="V38" s="14" t="s">
        <v>289</v>
      </c>
      <c r="W38" s="14" t="s">
        <v>4</v>
      </c>
      <c r="X38" s="14" t="s">
        <v>296</v>
      </c>
      <c r="Y38" s="14" t="s">
        <v>297</v>
      </c>
      <c r="Z38" s="14" t="s">
        <v>248</v>
      </c>
      <c r="AA38" s="14" t="s">
        <v>4</v>
      </c>
      <c r="AB38" s="14" t="s">
        <v>562</v>
      </c>
      <c r="AC38" s="14" t="s">
        <v>4</v>
      </c>
      <c r="AD38" s="14" t="s">
        <v>404</v>
      </c>
      <c r="AE38" s="14" t="s">
        <v>260</v>
      </c>
      <c r="AF38" s="14" t="s">
        <v>40</v>
      </c>
      <c r="AG38" s="14">
        <v>0</v>
      </c>
      <c r="AH38" s="14" t="s">
        <v>45</v>
      </c>
      <c r="AI38" s="14">
        <v>100</v>
      </c>
      <c r="AJ38" s="14" t="s">
        <v>115</v>
      </c>
      <c r="AK38" s="14">
        <v>30</v>
      </c>
      <c r="AL38" s="14">
        <v>174</v>
      </c>
      <c r="AM38" s="14" t="s">
        <v>220</v>
      </c>
      <c r="AN38" s="14" t="s">
        <v>221</v>
      </c>
      <c r="AO38" s="14">
        <v>8</v>
      </c>
      <c r="AP38" s="14">
        <v>5</v>
      </c>
      <c r="AQ38" s="15">
        <v>44123</v>
      </c>
      <c r="AR38" s="14" t="s">
        <v>99</v>
      </c>
      <c r="AS38" s="14" t="s">
        <v>4</v>
      </c>
      <c r="AT38" s="14" t="s">
        <v>563</v>
      </c>
      <c r="AU38" s="14" t="s">
        <v>4</v>
      </c>
      <c r="AV38" s="14" t="s">
        <v>4</v>
      </c>
      <c r="AW38" s="14" t="s">
        <v>564</v>
      </c>
      <c r="AX38" s="14" t="s">
        <v>374</v>
      </c>
      <c r="AY38" s="14" t="s">
        <v>4</v>
      </c>
      <c r="AZ38" s="14" t="s">
        <v>320</v>
      </c>
      <c r="BA38" s="14" t="s">
        <v>321</v>
      </c>
      <c r="BB38" s="14" t="s">
        <v>321</v>
      </c>
      <c r="BC38" s="14" t="s">
        <v>298</v>
      </c>
      <c r="BD38" s="14" t="s">
        <v>287</v>
      </c>
      <c r="BE38" s="16" t="s">
        <v>812</v>
      </c>
    </row>
    <row r="39" spans="1:57" x14ac:dyDescent="0.3">
      <c r="A39" s="18" t="s">
        <v>40</v>
      </c>
      <c r="B39" s="19" t="s">
        <v>291</v>
      </c>
      <c r="C39" s="19" t="s">
        <v>292</v>
      </c>
      <c r="D39" s="19" t="s">
        <v>372</v>
      </c>
      <c r="E39" s="19" t="s">
        <v>373</v>
      </c>
      <c r="F39" s="19" t="s">
        <v>559</v>
      </c>
      <c r="G39" s="19" t="s">
        <v>560</v>
      </c>
      <c r="H39" s="19" t="s">
        <v>266</v>
      </c>
      <c r="I39" s="19" t="s">
        <v>78</v>
      </c>
      <c r="J39" s="19" t="s">
        <v>79</v>
      </c>
      <c r="K39" s="19" t="s">
        <v>107</v>
      </c>
      <c r="L39" s="22">
        <v>44124</v>
      </c>
      <c r="M39" s="19" t="s">
        <v>54</v>
      </c>
      <c r="N39" s="19" t="s">
        <v>561</v>
      </c>
      <c r="O39" s="19" t="s">
        <v>4</v>
      </c>
      <c r="P39" s="19" t="s">
        <v>4</v>
      </c>
      <c r="Q39" s="19" t="s">
        <v>207</v>
      </c>
      <c r="R39" s="22">
        <v>34681</v>
      </c>
      <c r="S39" s="19" t="s">
        <v>208</v>
      </c>
      <c r="T39" s="19" t="s">
        <v>313</v>
      </c>
      <c r="U39" s="19" t="s">
        <v>314</v>
      </c>
      <c r="V39" s="19" t="s">
        <v>289</v>
      </c>
      <c r="W39" s="19" t="s">
        <v>4</v>
      </c>
      <c r="X39" s="19" t="s">
        <v>296</v>
      </c>
      <c r="Y39" s="19" t="s">
        <v>297</v>
      </c>
      <c r="Z39" s="19" t="s">
        <v>288</v>
      </c>
      <c r="AA39" s="19" t="s">
        <v>4</v>
      </c>
      <c r="AB39" s="19" t="s">
        <v>562</v>
      </c>
      <c r="AC39" s="19" t="s">
        <v>4</v>
      </c>
      <c r="AD39" s="19" t="s">
        <v>404</v>
      </c>
      <c r="AE39" s="19" t="s">
        <v>260</v>
      </c>
      <c r="AF39" s="19" t="s">
        <v>40</v>
      </c>
      <c r="AG39" s="19">
        <v>0</v>
      </c>
      <c r="AH39" s="19" t="s">
        <v>45</v>
      </c>
      <c r="AI39" s="19">
        <v>100</v>
      </c>
      <c r="AJ39" s="19" t="s">
        <v>115</v>
      </c>
      <c r="AK39" s="19">
        <v>30</v>
      </c>
      <c r="AL39" s="19">
        <v>174</v>
      </c>
      <c r="AM39" s="19" t="s">
        <v>220</v>
      </c>
      <c r="AN39" s="19" t="s">
        <v>221</v>
      </c>
      <c r="AO39" s="19">
        <v>8</v>
      </c>
      <c r="AP39" s="19">
        <v>5</v>
      </c>
      <c r="AQ39" s="23">
        <v>44123</v>
      </c>
      <c r="AR39" s="19" t="s">
        <v>99</v>
      </c>
      <c r="AS39" s="19" t="s">
        <v>4</v>
      </c>
      <c r="AT39" s="19" t="s">
        <v>563</v>
      </c>
      <c r="AU39" s="19" t="s">
        <v>4</v>
      </c>
      <c r="AV39" s="19" t="s">
        <v>4</v>
      </c>
      <c r="AW39" s="19" t="s">
        <v>564</v>
      </c>
      <c r="AX39" s="19" t="s">
        <v>374</v>
      </c>
      <c r="AY39" s="19" t="s">
        <v>4</v>
      </c>
      <c r="AZ39" s="19" t="s">
        <v>320</v>
      </c>
      <c r="BA39" s="19" t="s">
        <v>321</v>
      </c>
      <c r="BB39" s="19" t="s">
        <v>321</v>
      </c>
      <c r="BC39" s="19" t="s">
        <v>298</v>
      </c>
      <c r="BD39" s="19" t="s">
        <v>287</v>
      </c>
      <c r="BE39" s="20" t="s">
        <v>812</v>
      </c>
    </row>
    <row r="40" spans="1:57" x14ac:dyDescent="0.3">
      <c r="A40" s="13" t="s">
        <v>40</v>
      </c>
      <c r="B40" s="14" t="s">
        <v>291</v>
      </c>
      <c r="C40" s="14" t="s">
        <v>292</v>
      </c>
      <c r="D40" s="14" t="s">
        <v>293</v>
      </c>
      <c r="E40" s="14" t="s">
        <v>294</v>
      </c>
      <c r="F40" s="14" t="s">
        <v>565</v>
      </c>
      <c r="G40" s="14" t="s">
        <v>566</v>
      </c>
      <c r="H40" s="14" t="s">
        <v>266</v>
      </c>
      <c r="I40" s="14" t="s">
        <v>37</v>
      </c>
      <c r="J40" s="14" t="s">
        <v>38</v>
      </c>
      <c r="K40" s="14" t="s">
        <v>39</v>
      </c>
      <c r="L40" s="21">
        <v>44151</v>
      </c>
      <c r="M40" s="14" t="s">
        <v>85</v>
      </c>
      <c r="N40" s="14" t="s">
        <v>87</v>
      </c>
      <c r="O40" s="14" t="s">
        <v>4</v>
      </c>
      <c r="P40" s="14" t="s">
        <v>4</v>
      </c>
      <c r="Q40" s="14" t="s">
        <v>204</v>
      </c>
      <c r="R40" s="21">
        <v>33891</v>
      </c>
      <c r="S40" s="14" t="s">
        <v>206</v>
      </c>
      <c r="T40" s="14" t="s">
        <v>419</v>
      </c>
      <c r="U40" s="14" t="s">
        <v>420</v>
      </c>
      <c r="V40" s="14" t="s">
        <v>295</v>
      </c>
      <c r="W40" s="14" t="s">
        <v>4</v>
      </c>
      <c r="X40" s="14" t="s">
        <v>296</v>
      </c>
      <c r="Y40" s="14" t="s">
        <v>297</v>
      </c>
      <c r="Z40" s="14" t="s">
        <v>248</v>
      </c>
      <c r="AA40" s="14" t="s">
        <v>4</v>
      </c>
      <c r="AB40" s="14" t="s">
        <v>567</v>
      </c>
      <c r="AC40" s="14" t="s">
        <v>4</v>
      </c>
      <c r="AD40" s="14" t="s">
        <v>568</v>
      </c>
      <c r="AE40" s="14" t="s">
        <v>309</v>
      </c>
      <c r="AF40" s="14" t="s">
        <v>40</v>
      </c>
      <c r="AG40" s="14">
        <v>243600</v>
      </c>
      <c r="AH40" s="14" t="s">
        <v>45</v>
      </c>
      <c r="AI40" s="14">
        <v>100</v>
      </c>
      <c r="AJ40" s="14" t="s">
        <v>102</v>
      </c>
      <c r="AK40" s="14">
        <v>20300</v>
      </c>
      <c r="AL40" s="14">
        <v>174</v>
      </c>
      <c r="AM40" s="14" t="s">
        <v>220</v>
      </c>
      <c r="AN40" s="14" t="s">
        <v>221</v>
      </c>
      <c r="AO40" s="14">
        <v>8</v>
      </c>
      <c r="AP40" s="14">
        <v>5</v>
      </c>
      <c r="AQ40" s="15">
        <v>44124</v>
      </c>
      <c r="AR40" s="14" t="s">
        <v>99</v>
      </c>
      <c r="AS40" s="14" t="s">
        <v>4</v>
      </c>
      <c r="AT40" s="14" t="s">
        <v>4</v>
      </c>
      <c r="AU40" s="14" t="s">
        <v>4</v>
      </c>
      <c r="AV40" s="14" t="s">
        <v>4</v>
      </c>
      <c r="AW40" s="14" t="s">
        <v>569</v>
      </c>
      <c r="AX40" s="14" t="s">
        <v>308</v>
      </c>
      <c r="AY40" s="14" t="s">
        <v>4</v>
      </c>
      <c r="AZ40" s="14" t="s">
        <v>421</v>
      </c>
      <c r="BA40" s="14" t="s">
        <v>422</v>
      </c>
      <c r="BB40" s="14" t="s">
        <v>422</v>
      </c>
      <c r="BC40" s="14" t="s">
        <v>310</v>
      </c>
      <c r="BD40" s="14" t="s">
        <v>287</v>
      </c>
      <c r="BE40" s="16" t="s">
        <v>812</v>
      </c>
    </row>
    <row r="41" spans="1:57" x14ac:dyDescent="0.3">
      <c r="A41" s="18" t="s">
        <v>40</v>
      </c>
      <c r="B41" s="19" t="s">
        <v>291</v>
      </c>
      <c r="C41" s="19" t="s">
        <v>292</v>
      </c>
      <c r="D41" s="19" t="s">
        <v>293</v>
      </c>
      <c r="E41" s="19" t="s">
        <v>294</v>
      </c>
      <c r="F41" s="19" t="s">
        <v>565</v>
      </c>
      <c r="G41" s="19" t="s">
        <v>566</v>
      </c>
      <c r="H41" s="19" t="s">
        <v>266</v>
      </c>
      <c r="I41" s="19" t="s">
        <v>37</v>
      </c>
      <c r="J41" s="19" t="s">
        <v>38</v>
      </c>
      <c r="K41" s="19" t="s">
        <v>39</v>
      </c>
      <c r="L41" s="22">
        <v>44151</v>
      </c>
      <c r="M41" s="19" t="s">
        <v>85</v>
      </c>
      <c r="N41" s="19" t="s">
        <v>87</v>
      </c>
      <c r="O41" s="19" t="s">
        <v>4</v>
      </c>
      <c r="P41" s="19" t="s">
        <v>4</v>
      </c>
      <c r="Q41" s="19" t="s">
        <v>204</v>
      </c>
      <c r="R41" s="22">
        <v>33891</v>
      </c>
      <c r="S41" s="19" t="s">
        <v>206</v>
      </c>
      <c r="T41" s="19" t="s">
        <v>419</v>
      </c>
      <c r="U41" s="19" t="s">
        <v>420</v>
      </c>
      <c r="V41" s="19" t="s">
        <v>295</v>
      </c>
      <c r="W41" s="19" t="s">
        <v>4</v>
      </c>
      <c r="X41" s="19" t="s">
        <v>296</v>
      </c>
      <c r="Y41" s="19" t="s">
        <v>297</v>
      </c>
      <c r="Z41" s="19" t="s">
        <v>288</v>
      </c>
      <c r="AA41" s="19" t="s">
        <v>4</v>
      </c>
      <c r="AB41" s="19" t="s">
        <v>567</v>
      </c>
      <c r="AC41" s="19" t="s">
        <v>4</v>
      </c>
      <c r="AD41" s="19" t="s">
        <v>568</v>
      </c>
      <c r="AE41" s="19" t="s">
        <v>309</v>
      </c>
      <c r="AF41" s="19" t="s">
        <v>40</v>
      </c>
      <c r="AG41" s="19">
        <v>243600</v>
      </c>
      <c r="AH41" s="19" t="s">
        <v>45</v>
      </c>
      <c r="AI41" s="19">
        <v>100</v>
      </c>
      <c r="AJ41" s="19" t="s">
        <v>102</v>
      </c>
      <c r="AK41" s="19">
        <v>20300</v>
      </c>
      <c r="AL41" s="19">
        <v>174</v>
      </c>
      <c r="AM41" s="19" t="s">
        <v>220</v>
      </c>
      <c r="AN41" s="19" t="s">
        <v>221</v>
      </c>
      <c r="AO41" s="19">
        <v>8</v>
      </c>
      <c r="AP41" s="19">
        <v>5</v>
      </c>
      <c r="AQ41" s="23">
        <v>44124</v>
      </c>
      <c r="AR41" s="19" t="s">
        <v>99</v>
      </c>
      <c r="AS41" s="19" t="s">
        <v>4</v>
      </c>
      <c r="AT41" s="19" t="s">
        <v>4</v>
      </c>
      <c r="AU41" s="19" t="s">
        <v>4</v>
      </c>
      <c r="AV41" s="19" t="s">
        <v>4</v>
      </c>
      <c r="AW41" s="19" t="s">
        <v>569</v>
      </c>
      <c r="AX41" s="19" t="s">
        <v>308</v>
      </c>
      <c r="AY41" s="19" t="s">
        <v>4</v>
      </c>
      <c r="AZ41" s="19" t="s">
        <v>421</v>
      </c>
      <c r="BA41" s="19" t="s">
        <v>422</v>
      </c>
      <c r="BB41" s="19" t="s">
        <v>422</v>
      </c>
      <c r="BC41" s="19" t="s">
        <v>310</v>
      </c>
      <c r="BD41" s="19" t="s">
        <v>287</v>
      </c>
      <c r="BE41" s="20" t="s">
        <v>812</v>
      </c>
    </row>
    <row r="42" spans="1:57" x14ac:dyDescent="0.3">
      <c r="A42" s="13" t="s">
        <v>40</v>
      </c>
      <c r="B42" s="14" t="s">
        <v>291</v>
      </c>
      <c r="C42" s="14" t="s">
        <v>292</v>
      </c>
      <c r="D42" s="14" t="s">
        <v>293</v>
      </c>
      <c r="E42" s="14" t="s">
        <v>294</v>
      </c>
      <c r="F42" s="14" t="s">
        <v>570</v>
      </c>
      <c r="G42" s="14" t="s">
        <v>571</v>
      </c>
      <c r="H42" s="14" t="s">
        <v>266</v>
      </c>
      <c r="I42" s="14" t="s">
        <v>37</v>
      </c>
      <c r="J42" s="14" t="s">
        <v>38</v>
      </c>
      <c r="K42" s="14" t="s">
        <v>39</v>
      </c>
      <c r="L42" s="21">
        <v>44144</v>
      </c>
      <c r="M42" s="14" t="s">
        <v>46</v>
      </c>
      <c r="N42" s="14" t="s">
        <v>572</v>
      </c>
      <c r="O42" s="14" t="s">
        <v>4</v>
      </c>
      <c r="P42" s="14" t="s">
        <v>4</v>
      </c>
      <c r="Q42" s="14" t="s">
        <v>204</v>
      </c>
      <c r="R42" s="21">
        <v>29850</v>
      </c>
      <c r="S42" s="14" t="s">
        <v>206</v>
      </c>
      <c r="T42" s="14" t="s">
        <v>573</v>
      </c>
      <c r="U42" s="14" t="s">
        <v>574</v>
      </c>
      <c r="V42" s="14" t="s">
        <v>295</v>
      </c>
      <c r="W42" s="14" t="s">
        <v>4</v>
      </c>
      <c r="X42" s="14" t="s">
        <v>296</v>
      </c>
      <c r="Y42" s="14" t="s">
        <v>297</v>
      </c>
      <c r="Z42" s="14" t="s">
        <v>248</v>
      </c>
      <c r="AA42" s="14" t="s">
        <v>4</v>
      </c>
      <c r="AB42" s="14" t="s">
        <v>575</v>
      </c>
      <c r="AC42" s="14" t="s">
        <v>4</v>
      </c>
      <c r="AD42" s="14" t="s">
        <v>576</v>
      </c>
      <c r="AE42" s="14" t="s">
        <v>260</v>
      </c>
      <c r="AF42" s="14" t="s">
        <v>40</v>
      </c>
      <c r="AG42" s="14">
        <v>336000</v>
      </c>
      <c r="AH42" s="14" t="s">
        <v>45</v>
      </c>
      <c r="AI42" s="14">
        <v>100</v>
      </c>
      <c r="AJ42" s="14" t="s">
        <v>102</v>
      </c>
      <c r="AK42" s="14">
        <v>28000</v>
      </c>
      <c r="AL42" s="14">
        <v>174</v>
      </c>
      <c r="AM42" s="14" t="s">
        <v>220</v>
      </c>
      <c r="AN42" s="14" t="s">
        <v>221</v>
      </c>
      <c r="AO42" s="14">
        <v>8</v>
      </c>
      <c r="AP42" s="14">
        <v>5</v>
      </c>
      <c r="AQ42" s="15">
        <v>44139</v>
      </c>
      <c r="AR42" s="14" t="s">
        <v>108</v>
      </c>
      <c r="AS42" s="14" t="s">
        <v>4</v>
      </c>
      <c r="AT42" s="14" t="s">
        <v>4</v>
      </c>
      <c r="AU42" s="14" t="s">
        <v>4</v>
      </c>
      <c r="AV42" s="14" t="s">
        <v>4</v>
      </c>
      <c r="AW42" s="14" t="s">
        <v>577</v>
      </c>
      <c r="AX42" s="14" t="s">
        <v>578</v>
      </c>
      <c r="AY42" s="14" t="s">
        <v>4</v>
      </c>
      <c r="AZ42" s="14" t="s">
        <v>579</v>
      </c>
      <c r="BA42" s="14" t="s">
        <v>580</v>
      </c>
      <c r="BB42" s="14" t="s">
        <v>580</v>
      </c>
      <c r="BC42" s="14" t="s">
        <v>298</v>
      </c>
      <c r="BD42" s="14" t="s">
        <v>287</v>
      </c>
      <c r="BE42" s="16" t="s">
        <v>812</v>
      </c>
    </row>
    <row r="43" spans="1:57" x14ac:dyDescent="0.3">
      <c r="A43" s="18" t="s">
        <v>40</v>
      </c>
      <c r="B43" s="19" t="s">
        <v>291</v>
      </c>
      <c r="C43" s="19" t="s">
        <v>292</v>
      </c>
      <c r="D43" s="19" t="s">
        <v>293</v>
      </c>
      <c r="E43" s="19" t="s">
        <v>294</v>
      </c>
      <c r="F43" s="19" t="s">
        <v>570</v>
      </c>
      <c r="G43" s="19" t="s">
        <v>571</v>
      </c>
      <c r="H43" s="19" t="s">
        <v>266</v>
      </c>
      <c r="I43" s="19" t="s">
        <v>37</v>
      </c>
      <c r="J43" s="19" t="s">
        <v>38</v>
      </c>
      <c r="K43" s="19" t="s">
        <v>39</v>
      </c>
      <c r="L43" s="22">
        <v>44144</v>
      </c>
      <c r="M43" s="19" t="s">
        <v>46</v>
      </c>
      <c r="N43" s="19" t="s">
        <v>572</v>
      </c>
      <c r="O43" s="19" t="s">
        <v>4</v>
      </c>
      <c r="P43" s="19" t="s">
        <v>4</v>
      </c>
      <c r="Q43" s="19" t="s">
        <v>204</v>
      </c>
      <c r="R43" s="22">
        <v>29850</v>
      </c>
      <c r="S43" s="19" t="s">
        <v>206</v>
      </c>
      <c r="T43" s="19" t="s">
        <v>573</v>
      </c>
      <c r="U43" s="19" t="s">
        <v>574</v>
      </c>
      <c r="V43" s="19" t="s">
        <v>295</v>
      </c>
      <c r="W43" s="19" t="s">
        <v>4</v>
      </c>
      <c r="X43" s="19" t="s">
        <v>296</v>
      </c>
      <c r="Y43" s="19" t="s">
        <v>297</v>
      </c>
      <c r="Z43" s="19" t="s">
        <v>288</v>
      </c>
      <c r="AA43" s="19" t="s">
        <v>4</v>
      </c>
      <c r="AB43" s="19" t="s">
        <v>575</v>
      </c>
      <c r="AC43" s="19" t="s">
        <v>4</v>
      </c>
      <c r="AD43" s="19" t="s">
        <v>576</v>
      </c>
      <c r="AE43" s="19" t="s">
        <v>260</v>
      </c>
      <c r="AF43" s="19" t="s">
        <v>40</v>
      </c>
      <c r="AG43" s="19">
        <v>336000</v>
      </c>
      <c r="AH43" s="19" t="s">
        <v>45</v>
      </c>
      <c r="AI43" s="19">
        <v>100</v>
      </c>
      <c r="AJ43" s="19" t="s">
        <v>102</v>
      </c>
      <c r="AK43" s="19">
        <v>28000</v>
      </c>
      <c r="AL43" s="19">
        <v>174</v>
      </c>
      <c r="AM43" s="19" t="s">
        <v>220</v>
      </c>
      <c r="AN43" s="19" t="s">
        <v>221</v>
      </c>
      <c r="AO43" s="19">
        <v>8</v>
      </c>
      <c r="AP43" s="19">
        <v>5</v>
      </c>
      <c r="AQ43" s="23">
        <v>44139</v>
      </c>
      <c r="AR43" s="19" t="s">
        <v>108</v>
      </c>
      <c r="AS43" s="19" t="s">
        <v>4</v>
      </c>
      <c r="AT43" s="19" t="s">
        <v>4</v>
      </c>
      <c r="AU43" s="19" t="s">
        <v>4</v>
      </c>
      <c r="AV43" s="19" t="s">
        <v>4</v>
      </c>
      <c r="AW43" s="19" t="s">
        <v>577</v>
      </c>
      <c r="AX43" s="19" t="s">
        <v>578</v>
      </c>
      <c r="AY43" s="19" t="s">
        <v>4</v>
      </c>
      <c r="AZ43" s="19" t="s">
        <v>579</v>
      </c>
      <c r="BA43" s="19" t="s">
        <v>580</v>
      </c>
      <c r="BB43" s="19" t="s">
        <v>580</v>
      </c>
      <c r="BC43" s="19" t="s">
        <v>298</v>
      </c>
      <c r="BD43" s="19" t="s">
        <v>287</v>
      </c>
      <c r="BE43" s="20" t="s">
        <v>812</v>
      </c>
    </row>
    <row r="44" spans="1:57" x14ac:dyDescent="0.3">
      <c r="A44" s="13" t="s">
        <v>40</v>
      </c>
      <c r="B44" s="14" t="s">
        <v>291</v>
      </c>
      <c r="C44" s="14" t="s">
        <v>292</v>
      </c>
      <c r="D44" s="14" t="s">
        <v>293</v>
      </c>
      <c r="E44" s="14" t="s">
        <v>294</v>
      </c>
      <c r="F44" s="14" t="s">
        <v>581</v>
      </c>
      <c r="G44" s="14" t="s">
        <v>582</v>
      </c>
      <c r="H44" s="14" t="s">
        <v>266</v>
      </c>
      <c r="I44" s="14" t="s">
        <v>37</v>
      </c>
      <c r="J44" s="14" t="s">
        <v>38</v>
      </c>
      <c r="K44" s="14" t="s">
        <v>39</v>
      </c>
      <c r="L44" s="21">
        <v>44144</v>
      </c>
      <c r="M44" s="14" t="s">
        <v>73</v>
      </c>
      <c r="N44" s="14" t="s">
        <v>583</v>
      </c>
      <c r="O44" s="14" t="s">
        <v>4</v>
      </c>
      <c r="P44" s="14" t="s">
        <v>4</v>
      </c>
      <c r="Q44" s="14" t="s">
        <v>204</v>
      </c>
      <c r="R44" s="21">
        <v>33340</v>
      </c>
      <c r="S44" s="14" t="s">
        <v>206</v>
      </c>
      <c r="T44" s="14" t="s">
        <v>391</v>
      </c>
      <c r="U44" s="14" t="s">
        <v>392</v>
      </c>
      <c r="V44" s="14" t="s">
        <v>295</v>
      </c>
      <c r="W44" s="14" t="s">
        <v>4</v>
      </c>
      <c r="X44" s="14" t="s">
        <v>296</v>
      </c>
      <c r="Y44" s="14" t="s">
        <v>297</v>
      </c>
      <c r="Z44" s="14" t="s">
        <v>248</v>
      </c>
      <c r="AA44" s="14" t="s">
        <v>4</v>
      </c>
      <c r="AB44" s="14" t="s">
        <v>584</v>
      </c>
      <c r="AC44" s="14" t="s">
        <v>4</v>
      </c>
      <c r="AD44" s="14" t="s">
        <v>261</v>
      </c>
      <c r="AE44" s="14" t="s">
        <v>260</v>
      </c>
      <c r="AF44" s="14" t="s">
        <v>40</v>
      </c>
      <c r="AG44" s="14">
        <v>240000</v>
      </c>
      <c r="AH44" s="14" t="s">
        <v>45</v>
      </c>
      <c r="AI44" s="14">
        <v>100</v>
      </c>
      <c r="AJ44" s="14" t="s">
        <v>102</v>
      </c>
      <c r="AK44" s="14">
        <v>20000</v>
      </c>
      <c r="AL44" s="14">
        <v>174</v>
      </c>
      <c r="AM44" s="14" t="s">
        <v>220</v>
      </c>
      <c r="AN44" s="14" t="s">
        <v>221</v>
      </c>
      <c r="AO44" s="14">
        <v>8</v>
      </c>
      <c r="AP44" s="14">
        <v>5</v>
      </c>
      <c r="AQ44" s="15">
        <v>44124</v>
      </c>
      <c r="AR44" s="14" t="s">
        <v>97</v>
      </c>
      <c r="AS44" s="14" t="s">
        <v>4</v>
      </c>
      <c r="AT44" s="14" t="s">
        <v>585</v>
      </c>
      <c r="AU44" s="14" t="s">
        <v>4</v>
      </c>
      <c r="AV44" s="14" t="s">
        <v>4</v>
      </c>
      <c r="AW44" s="14" t="s">
        <v>586</v>
      </c>
      <c r="AX44" s="14" t="s">
        <v>398</v>
      </c>
      <c r="AY44" s="14" t="s">
        <v>4</v>
      </c>
      <c r="AZ44" s="14" t="s">
        <v>393</v>
      </c>
      <c r="BA44" s="14" t="s">
        <v>394</v>
      </c>
      <c r="BB44" s="14" t="s">
        <v>394</v>
      </c>
      <c r="BC44" s="14" t="s">
        <v>298</v>
      </c>
      <c r="BD44" s="14" t="s">
        <v>287</v>
      </c>
      <c r="BE44" s="16" t="s">
        <v>812</v>
      </c>
    </row>
    <row r="45" spans="1:57" x14ac:dyDescent="0.3">
      <c r="A45" s="18" t="s">
        <v>40</v>
      </c>
      <c r="B45" s="19" t="s">
        <v>291</v>
      </c>
      <c r="C45" s="19" t="s">
        <v>292</v>
      </c>
      <c r="D45" s="19" t="s">
        <v>293</v>
      </c>
      <c r="E45" s="19" t="s">
        <v>294</v>
      </c>
      <c r="F45" s="19" t="s">
        <v>581</v>
      </c>
      <c r="G45" s="19" t="s">
        <v>582</v>
      </c>
      <c r="H45" s="19" t="s">
        <v>266</v>
      </c>
      <c r="I45" s="19" t="s">
        <v>37</v>
      </c>
      <c r="J45" s="19" t="s">
        <v>38</v>
      </c>
      <c r="K45" s="19" t="s">
        <v>39</v>
      </c>
      <c r="L45" s="22">
        <v>44144</v>
      </c>
      <c r="M45" s="19" t="s">
        <v>73</v>
      </c>
      <c r="N45" s="19" t="s">
        <v>583</v>
      </c>
      <c r="O45" s="19" t="s">
        <v>4</v>
      </c>
      <c r="P45" s="19" t="s">
        <v>4</v>
      </c>
      <c r="Q45" s="19" t="s">
        <v>204</v>
      </c>
      <c r="R45" s="22">
        <v>33340</v>
      </c>
      <c r="S45" s="19" t="s">
        <v>206</v>
      </c>
      <c r="T45" s="19" t="s">
        <v>391</v>
      </c>
      <c r="U45" s="19" t="s">
        <v>392</v>
      </c>
      <c r="V45" s="19" t="s">
        <v>295</v>
      </c>
      <c r="W45" s="19" t="s">
        <v>4</v>
      </c>
      <c r="X45" s="19" t="s">
        <v>296</v>
      </c>
      <c r="Y45" s="19" t="s">
        <v>297</v>
      </c>
      <c r="Z45" s="19" t="s">
        <v>288</v>
      </c>
      <c r="AA45" s="19" t="s">
        <v>4</v>
      </c>
      <c r="AB45" s="19" t="s">
        <v>584</v>
      </c>
      <c r="AC45" s="19" t="s">
        <v>4</v>
      </c>
      <c r="AD45" s="19" t="s">
        <v>261</v>
      </c>
      <c r="AE45" s="19" t="s">
        <v>260</v>
      </c>
      <c r="AF45" s="19" t="s">
        <v>40</v>
      </c>
      <c r="AG45" s="19">
        <v>240000</v>
      </c>
      <c r="AH45" s="19" t="s">
        <v>45</v>
      </c>
      <c r="AI45" s="19">
        <v>100</v>
      </c>
      <c r="AJ45" s="19" t="s">
        <v>102</v>
      </c>
      <c r="AK45" s="19">
        <v>20000</v>
      </c>
      <c r="AL45" s="19">
        <v>174</v>
      </c>
      <c r="AM45" s="19" t="s">
        <v>220</v>
      </c>
      <c r="AN45" s="19" t="s">
        <v>221</v>
      </c>
      <c r="AO45" s="19">
        <v>8</v>
      </c>
      <c r="AP45" s="19">
        <v>5</v>
      </c>
      <c r="AQ45" s="23">
        <v>44124</v>
      </c>
      <c r="AR45" s="19" t="s">
        <v>97</v>
      </c>
      <c r="AS45" s="19" t="s">
        <v>4</v>
      </c>
      <c r="AT45" s="19" t="s">
        <v>585</v>
      </c>
      <c r="AU45" s="19" t="s">
        <v>4</v>
      </c>
      <c r="AV45" s="19" t="s">
        <v>4</v>
      </c>
      <c r="AW45" s="19" t="s">
        <v>586</v>
      </c>
      <c r="AX45" s="19" t="s">
        <v>398</v>
      </c>
      <c r="AY45" s="19" t="s">
        <v>4</v>
      </c>
      <c r="AZ45" s="19" t="s">
        <v>393</v>
      </c>
      <c r="BA45" s="19" t="s">
        <v>394</v>
      </c>
      <c r="BB45" s="19" t="s">
        <v>394</v>
      </c>
      <c r="BC45" s="19" t="s">
        <v>298</v>
      </c>
      <c r="BD45" s="19" t="s">
        <v>287</v>
      </c>
      <c r="BE45" s="20" t="s">
        <v>812</v>
      </c>
    </row>
    <row r="46" spans="1:57" x14ac:dyDescent="0.3">
      <c r="A46" s="13" t="s">
        <v>40</v>
      </c>
      <c r="B46" s="14" t="s">
        <v>291</v>
      </c>
      <c r="C46" s="14" t="s">
        <v>292</v>
      </c>
      <c r="D46" s="14" t="s">
        <v>293</v>
      </c>
      <c r="E46" s="14" t="s">
        <v>294</v>
      </c>
      <c r="F46" s="14" t="s">
        <v>587</v>
      </c>
      <c r="G46" s="14" t="s">
        <v>588</v>
      </c>
      <c r="H46" s="14" t="s">
        <v>376</v>
      </c>
      <c r="I46" s="14" t="s">
        <v>37</v>
      </c>
      <c r="J46" s="14" t="s">
        <v>38</v>
      </c>
      <c r="K46" s="14" t="s">
        <v>39</v>
      </c>
      <c r="L46" s="21">
        <v>44137</v>
      </c>
      <c r="M46" s="14" t="s">
        <v>51</v>
      </c>
      <c r="N46" s="14" t="s">
        <v>517</v>
      </c>
      <c r="O46" s="14" t="s">
        <v>4</v>
      </c>
      <c r="P46" s="14" t="s">
        <v>4</v>
      </c>
      <c r="Q46" s="14" t="s">
        <v>204</v>
      </c>
      <c r="R46" s="21">
        <v>32911</v>
      </c>
      <c r="S46" s="14" t="s">
        <v>206</v>
      </c>
      <c r="T46" s="14" t="s">
        <v>589</v>
      </c>
      <c r="U46" s="14" t="s">
        <v>590</v>
      </c>
      <c r="V46" s="14" t="s">
        <v>295</v>
      </c>
      <c r="W46" s="14" t="s">
        <v>4</v>
      </c>
      <c r="X46" s="14" t="s">
        <v>296</v>
      </c>
      <c r="Y46" s="14" t="s">
        <v>297</v>
      </c>
      <c r="Z46" s="14" t="s">
        <v>248</v>
      </c>
      <c r="AA46" s="14" t="s">
        <v>4</v>
      </c>
      <c r="AB46" s="14" t="s">
        <v>591</v>
      </c>
      <c r="AC46" s="14" t="s">
        <v>592</v>
      </c>
      <c r="AD46" s="14" t="s">
        <v>593</v>
      </c>
      <c r="AE46" s="14" t="s">
        <v>594</v>
      </c>
      <c r="AF46" s="14" t="s">
        <v>40</v>
      </c>
      <c r="AG46" s="14">
        <v>210000</v>
      </c>
      <c r="AH46" s="14" t="s">
        <v>45</v>
      </c>
      <c r="AI46" s="14">
        <v>100</v>
      </c>
      <c r="AJ46" s="14" t="s">
        <v>102</v>
      </c>
      <c r="AK46" s="14">
        <v>17500</v>
      </c>
      <c r="AL46" s="14">
        <v>174</v>
      </c>
      <c r="AM46" s="14" t="s">
        <v>220</v>
      </c>
      <c r="AN46" s="14" t="s">
        <v>221</v>
      </c>
      <c r="AO46" s="14">
        <v>8</v>
      </c>
      <c r="AP46" s="14">
        <v>5</v>
      </c>
      <c r="AQ46" s="15">
        <v>44125</v>
      </c>
      <c r="AR46" s="14" t="s">
        <v>99</v>
      </c>
      <c r="AS46" s="14" t="s">
        <v>4</v>
      </c>
      <c r="AT46" s="14" t="s">
        <v>595</v>
      </c>
      <c r="AU46" s="14" t="s">
        <v>4</v>
      </c>
      <c r="AV46" s="14" t="s">
        <v>4</v>
      </c>
      <c r="AW46" s="14" t="s">
        <v>596</v>
      </c>
      <c r="AX46" s="14" t="s">
        <v>496</v>
      </c>
      <c r="AY46" s="14" t="s">
        <v>4</v>
      </c>
      <c r="AZ46" s="14" t="s">
        <v>597</v>
      </c>
      <c r="BA46" s="14" t="s">
        <v>598</v>
      </c>
      <c r="BB46" s="14" t="s">
        <v>598</v>
      </c>
      <c r="BC46" s="14" t="s">
        <v>298</v>
      </c>
      <c r="BD46" s="14" t="s">
        <v>287</v>
      </c>
      <c r="BE46" s="16" t="s">
        <v>812</v>
      </c>
    </row>
    <row r="47" spans="1:57" x14ac:dyDescent="0.3">
      <c r="A47" s="18" t="s">
        <v>40</v>
      </c>
      <c r="B47" s="19" t="s">
        <v>291</v>
      </c>
      <c r="C47" s="19" t="s">
        <v>292</v>
      </c>
      <c r="D47" s="19" t="s">
        <v>293</v>
      </c>
      <c r="E47" s="19" t="s">
        <v>294</v>
      </c>
      <c r="F47" s="19" t="s">
        <v>587</v>
      </c>
      <c r="G47" s="19" t="s">
        <v>588</v>
      </c>
      <c r="H47" s="19" t="s">
        <v>376</v>
      </c>
      <c r="I47" s="19" t="s">
        <v>37</v>
      </c>
      <c r="J47" s="19" t="s">
        <v>38</v>
      </c>
      <c r="K47" s="19" t="s">
        <v>39</v>
      </c>
      <c r="L47" s="22">
        <v>44137</v>
      </c>
      <c r="M47" s="19" t="s">
        <v>51</v>
      </c>
      <c r="N47" s="19" t="s">
        <v>517</v>
      </c>
      <c r="O47" s="19" t="s">
        <v>4</v>
      </c>
      <c r="P47" s="19" t="s">
        <v>4</v>
      </c>
      <c r="Q47" s="19" t="s">
        <v>204</v>
      </c>
      <c r="R47" s="22">
        <v>32911</v>
      </c>
      <c r="S47" s="19" t="s">
        <v>206</v>
      </c>
      <c r="T47" s="19" t="s">
        <v>589</v>
      </c>
      <c r="U47" s="19" t="s">
        <v>590</v>
      </c>
      <c r="V47" s="19" t="s">
        <v>295</v>
      </c>
      <c r="W47" s="19" t="s">
        <v>4</v>
      </c>
      <c r="X47" s="19" t="s">
        <v>296</v>
      </c>
      <c r="Y47" s="19" t="s">
        <v>297</v>
      </c>
      <c r="Z47" s="19" t="s">
        <v>288</v>
      </c>
      <c r="AA47" s="19" t="s">
        <v>4</v>
      </c>
      <c r="AB47" s="19" t="s">
        <v>591</v>
      </c>
      <c r="AC47" s="19" t="s">
        <v>592</v>
      </c>
      <c r="AD47" s="19" t="s">
        <v>593</v>
      </c>
      <c r="AE47" s="19" t="s">
        <v>594</v>
      </c>
      <c r="AF47" s="19" t="s">
        <v>40</v>
      </c>
      <c r="AG47" s="19">
        <v>210000</v>
      </c>
      <c r="AH47" s="19" t="s">
        <v>45</v>
      </c>
      <c r="AI47" s="19">
        <v>100</v>
      </c>
      <c r="AJ47" s="19" t="s">
        <v>102</v>
      </c>
      <c r="AK47" s="19">
        <v>17500</v>
      </c>
      <c r="AL47" s="19">
        <v>174</v>
      </c>
      <c r="AM47" s="19" t="s">
        <v>220</v>
      </c>
      <c r="AN47" s="19" t="s">
        <v>221</v>
      </c>
      <c r="AO47" s="19">
        <v>8</v>
      </c>
      <c r="AP47" s="19">
        <v>5</v>
      </c>
      <c r="AQ47" s="23">
        <v>44125</v>
      </c>
      <c r="AR47" s="19" t="s">
        <v>99</v>
      </c>
      <c r="AS47" s="19" t="s">
        <v>4</v>
      </c>
      <c r="AT47" s="19" t="s">
        <v>595</v>
      </c>
      <c r="AU47" s="19" t="s">
        <v>4</v>
      </c>
      <c r="AV47" s="19" t="s">
        <v>4</v>
      </c>
      <c r="AW47" s="19" t="s">
        <v>596</v>
      </c>
      <c r="AX47" s="19" t="s">
        <v>496</v>
      </c>
      <c r="AY47" s="19" t="s">
        <v>4</v>
      </c>
      <c r="AZ47" s="19" t="s">
        <v>597</v>
      </c>
      <c r="BA47" s="19" t="s">
        <v>598</v>
      </c>
      <c r="BB47" s="19" t="s">
        <v>598</v>
      </c>
      <c r="BC47" s="19" t="s">
        <v>298</v>
      </c>
      <c r="BD47" s="19" t="s">
        <v>287</v>
      </c>
      <c r="BE47" s="20" t="s">
        <v>812</v>
      </c>
    </row>
    <row r="48" spans="1:57" x14ac:dyDescent="0.3">
      <c r="A48" s="13" t="s">
        <v>40</v>
      </c>
      <c r="B48" s="14" t="s">
        <v>291</v>
      </c>
      <c r="C48" s="14" t="s">
        <v>292</v>
      </c>
      <c r="D48" s="14" t="s">
        <v>293</v>
      </c>
      <c r="E48" s="14" t="s">
        <v>294</v>
      </c>
      <c r="F48" s="14" t="s">
        <v>599</v>
      </c>
      <c r="G48" s="14" t="s">
        <v>600</v>
      </c>
      <c r="H48" s="14" t="s">
        <v>266</v>
      </c>
      <c r="I48" s="14" t="s">
        <v>37</v>
      </c>
      <c r="J48" s="14" t="s">
        <v>38</v>
      </c>
      <c r="K48" s="14" t="s">
        <v>39</v>
      </c>
      <c r="L48" s="21">
        <v>44144</v>
      </c>
      <c r="M48" s="14" t="s">
        <v>51</v>
      </c>
      <c r="N48" s="14" t="s">
        <v>601</v>
      </c>
      <c r="O48" s="14" t="s">
        <v>4</v>
      </c>
      <c r="P48" s="14" t="s">
        <v>4</v>
      </c>
      <c r="Q48" s="14" t="s">
        <v>204</v>
      </c>
      <c r="R48" s="21">
        <v>29324</v>
      </c>
      <c r="S48" s="14" t="s">
        <v>205</v>
      </c>
      <c r="T48" s="14" t="s">
        <v>602</v>
      </c>
      <c r="U48" s="14" t="s">
        <v>603</v>
      </c>
      <c r="V48" s="14" t="s">
        <v>295</v>
      </c>
      <c r="W48" s="14" t="s">
        <v>4</v>
      </c>
      <c r="X48" s="14" t="s">
        <v>296</v>
      </c>
      <c r="Y48" s="14" t="s">
        <v>297</v>
      </c>
      <c r="Z48" s="14" t="s">
        <v>248</v>
      </c>
      <c r="AA48" s="14" t="s">
        <v>4</v>
      </c>
      <c r="AB48" s="14" t="s">
        <v>309</v>
      </c>
      <c r="AC48" s="14" t="s">
        <v>4</v>
      </c>
      <c r="AD48" s="14" t="s">
        <v>257</v>
      </c>
      <c r="AE48" s="14" t="s">
        <v>309</v>
      </c>
      <c r="AF48" s="14" t="s">
        <v>40</v>
      </c>
      <c r="AG48" s="14">
        <v>372000</v>
      </c>
      <c r="AH48" s="14" t="s">
        <v>45</v>
      </c>
      <c r="AI48" s="14">
        <v>100</v>
      </c>
      <c r="AJ48" s="14" t="s">
        <v>102</v>
      </c>
      <c r="AK48" s="14">
        <v>31000</v>
      </c>
      <c r="AL48" s="14">
        <v>174</v>
      </c>
      <c r="AM48" s="14" t="s">
        <v>220</v>
      </c>
      <c r="AN48" s="14" t="s">
        <v>221</v>
      </c>
      <c r="AO48" s="14">
        <v>8</v>
      </c>
      <c r="AP48" s="14">
        <v>5</v>
      </c>
      <c r="AQ48" s="15">
        <v>44139</v>
      </c>
      <c r="AR48" s="14" t="s">
        <v>108</v>
      </c>
      <c r="AS48" s="14" t="s">
        <v>4</v>
      </c>
      <c r="AT48" s="14" t="s">
        <v>604</v>
      </c>
      <c r="AU48" s="14" t="s">
        <v>4</v>
      </c>
      <c r="AV48" s="14" t="s">
        <v>4</v>
      </c>
      <c r="AW48" s="14" t="s">
        <v>605</v>
      </c>
      <c r="AX48" s="14" t="s">
        <v>408</v>
      </c>
      <c r="AY48" s="14" t="s">
        <v>4</v>
      </c>
      <c r="AZ48" s="14" t="s">
        <v>606</v>
      </c>
      <c r="BA48" s="14" t="s">
        <v>607</v>
      </c>
      <c r="BB48" s="14" t="s">
        <v>607</v>
      </c>
      <c r="BC48" s="14" t="s">
        <v>310</v>
      </c>
      <c r="BD48" s="14" t="s">
        <v>287</v>
      </c>
      <c r="BE48" s="16" t="s">
        <v>812</v>
      </c>
    </row>
    <row r="49" spans="1:57" x14ac:dyDescent="0.3">
      <c r="A49" s="18" t="s">
        <v>40</v>
      </c>
      <c r="B49" s="19" t="s">
        <v>291</v>
      </c>
      <c r="C49" s="19" t="s">
        <v>292</v>
      </c>
      <c r="D49" s="19" t="s">
        <v>293</v>
      </c>
      <c r="E49" s="19" t="s">
        <v>294</v>
      </c>
      <c r="F49" s="19" t="s">
        <v>599</v>
      </c>
      <c r="G49" s="19" t="s">
        <v>600</v>
      </c>
      <c r="H49" s="19" t="s">
        <v>266</v>
      </c>
      <c r="I49" s="19" t="s">
        <v>37</v>
      </c>
      <c r="J49" s="19" t="s">
        <v>38</v>
      </c>
      <c r="K49" s="19" t="s">
        <v>39</v>
      </c>
      <c r="L49" s="22">
        <v>44144</v>
      </c>
      <c r="M49" s="19" t="s">
        <v>51</v>
      </c>
      <c r="N49" s="19" t="s">
        <v>601</v>
      </c>
      <c r="O49" s="19" t="s">
        <v>4</v>
      </c>
      <c r="P49" s="19" t="s">
        <v>4</v>
      </c>
      <c r="Q49" s="19" t="s">
        <v>204</v>
      </c>
      <c r="R49" s="22">
        <v>29324</v>
      </c>
      <c r="S49" s="19" t="s">
        <v>205</v>
      </c>
      <c r="T49" s="19" t="s">
        <v>602</v>
      </c>
      <c r="U49" s="19" t="s">
        <v>603</v>
      </c>
      <c r="V49" s="19" t="s">
        <v>295</v>
      </c>
      <c r="W49" s="19" t="s">
        <v>4</v>
      </c>
      <c r="X49" s="19" t="s">
        <v>296</v>
      </c>
      <c r="Y49" s="19" t="s">
        <v>297</v>
      </c>
      <c r="Z49" s="19" t="s">
        <v>288</v>
      </c>
      <c r="AA49" s="19" t="s">
        <v>4</v>
      </c>
      <c r="AB49" s="19" t="s">
        <v>309</v>
      </c>
      <c r="AC49" s="19" t="s">
        <v>4</v>
      </c>
      <c r="AD49" s="19" t="s">
        <v>257</v>
      </c>
      <c r="AE49" s="19" t="s">
        <v>309</v>
      </c>
      <c r="AF49" s="19" t="s">
        <v>40</v>
      </c>
      <c r="AG49" s="19">
        <v>372000</v>
      </c>
      <c r="AH49" s="19" t="s">
        <v>45</v>
      </c>
      <c r="AI49" s="19">
        <v>100</v>
      </c>
      <c r="AJ49" s="19" t="s">
        <v>102</v>
      </c>
      <c r="AK49" s="19">
        <v>31000</v>
      </c>
      <c r="AL49" s="19">
        <v>174</v>
      </c>
      <c r="AM49" s="19" t="s">
        <v>220</v>
      </c>
      <c r="AN49" s="19" t="s">
        <v>221</v>
      </c>
      <c r="AO49" s="19">
        <v>8</v>
      </c>
      <c r="AP49" s="19">
        <v>5</v>
      </c>
      <c r="AQ49" s="23">
        <v>44139</v>
      </c>
      <c r="AR49" s="19" t="s">
        <v>108</v>
      </c>
      <c r="AS49" s="19" t="s">
        <v>4</v>
      </c>
      <c r="AT49" s="19" t="s">
        <v>604</v>
      </c>
      <c r="AU49" s="19" t="s">
        <v>4</v>
      </c>
      <c r="AV49" s="19" t="s">
        <v>4</v>
      </c>
      <c r="AW49" s="19" t="s">
        <v>605</v>
      </c>
      <c r="AX49" s="19" t="s">
        <v>408</v>
      </c>
      <c r="AY49" s="19" t="s">
        <v>4</v>
      </c>
      <c r="AZ49" s="19" t="s">
        <v>606</v>
      </c>
      <c r="BA49" s="19" t="s">
        <v>607</v>
      </c>
      <c r="BB49" s="19" t="s">
        <v>607</v>
      </c>
      <c r="BC49" s="19" t="s">
        <v>310</v>
      </c>
      <c r="BD49" s="19" t="s">
        <v>287</v>
      </c>
      <c r="BE49" s="20" t="s">
        <v>812</v>
      </c>
    </row>
    <row r="50" spans="1:57" x14ac:dyDescent="0.3">
      <c r="A50" s="13" t="s">
        <v>40</v>
      </c>
      <c r="B50" s="14" t="s">
        <v>291</v>
      </c>
      <c r="C50" s="14" t="s">
        <v>292</v>
      </c>
      <c r="D50" s="14" t="s">
        <v>293</v>
      </c>
      <c r="E50" s="14" t="s">
        <v>294</v>
      </c>
      <c r="F50" s="14" t="s">
        <v>608</v>
      </c>
      <c r="G50" s="14" t="s">
        <v>609</v>
      </c>
      <c r="H50" s="14" t="s">
        <v>266</v>
      </c>
      <c r="I50" s="14" t="s">
        <v>37</v>
      </c>
      <c r="J50" s="14" t="s">
        <v>38</v>
      </c>
      <c r="K50" s="14" t="s">
        <v>39</v>
      </c>
      <c r="L50" s="21">
        <v>44144</v>
      </c>
      <c r="M50" s="14" t="s">
        <v>8</v>
      </c>
      <c r="N50" s="14" t="s">
        <v>610</v>
      </c>
      <c r="O50" s="14" t="s">
        <v>4</v>
      </c>
      <c r="P50" s="14" t="s">
        <v>4</v>
      </c>
      <c r="Q50" s="14" t="s">
        <v>204</v>
      </c>
      <c r="R50" s="21">
        <v>28681</v>
      </c>
      <c r="S50" s="14" t="s">
        <v>206</v>
      </c>
      <c r="T50" s="14" t="s">
        <v>434</v>
      </c>
      <c r="U50" s="14" t="s">
        <v>435</v>
      </c>
      <c r="V50" s="14" t="s">
        <v>295</v>
      </c>
      <c r="W50" s="14" t="s">
        <v>4</v>
      </c>
      <c r="X50" s="14" t="s">
        <v>296</v>
      </c>
      <c r="Y50" s="14" t="s">
        <v>297</v>
      </c>
      <c r="Z50" s="14" t="s">
        <v>248</v>
      </c>
      <c r="AA50" s="14" t="s">
        <v>4</v>
      </c>
      <c r="AB50" s="14" t="s">
        <v>260</v>
      </c>
      <c r="AC50" s="14" t="s">
        <v>4</v>
      </c>
      <c r="AD50" s="14" t="s">
        <v>261</v>
      </c>
      <c r="AE50" s="14" t="s">
        <v>260</v>
      </c>
      <c r="AF50" s="14" t="s">
        <v>40</v>
      </c>
      <c r="AG50" s="14">
        <v>288000</v>
      </c>
      <c r="AH50" s="14" t="s">
        <v>45</v>
      </c>
      <c r="AI50" s="14">
        <v>100</v>
      </c>
      <c r="AJ50" s="14" t="s">
        <v>102</v>
      </c>
      <c r="AK50" s="14">
        <v>24000</v>
      </c>
      <c r="AL50" s="14">
        <v>174</v>
      </c>
      <c r="AM50" s="14" t="s">
        <v>220</v>
      </c>
      <c r="AN50" s="14" t="s">
        <v>221</v>
      </c>
      <c r="AO50" s="14">
        <v>8</v>
      </c>
      <c r="AP50" s="14">
        <v>5</v>
      </c>
      <c r="AQ50" s="15">
        <v>44125</v>
      </c>
      <c r="AR50" s="14" t="s">
        <v>88</v>
      </c>
      <c r="AS50" s="14" t="s">
        <v>4</v>
      </c>
      <c r="AT50" s="14" t="s">
        <v>611</v>
      </c>
      <c r="AU50" s="14" t="s">
        <v>4</v>
      </c>
      <c r="AV50" s="14" t="s">
        <v>4</v>
      </c>
      <c r="AW50" s="14" t="s">
        <v>612</v>
      </c>
      <c r="AX50" s="14" t="s">
        <v>613</v>
      </c>
      <c r="AY50" s="14" t="s">
        <v>4</v>
      </c>
      <c r="AZ50" s="14" t="s">
        <v>437</v>
      </c>
      <c r="BA50" s="14" t="s">
        <v>438</v>
      </c>
      <c r="BB50" s="14" t="s">
        <v>438</v>
      </c>
      <c r="BC50" s="14" t="s">
        <v>298</v>
      </c>
      <c r="BD50" s="14" t="s">
        <v>287</v>
      </c>
      <c r="BE50" s="16" t="s">
        <v>812</v>
      </c>
    </row>
    <row r="51" spans="1:57" x14ac:dyDescent="0.3">
      <c r="A51" s="18" t="s">
        <v>40</v>
      </c>
      <c r="B51" s="19" t="s">
        <v>291</v>
      </c>
      <c r="C51" s="19" t="s">
        <v>292</v>
      </c>
      <c r="D51" s="19" t="s">
        <v>293</v>
      </c>
      <c r="E51" s="19" t="s">
        <v>294</v>
      </c>
      <c r="F51" s="19" t="s">
        <v>608</v>
      </c>
      <c r="G51" s="19" t="s">
        <v>609</v>
      </c>
      <c r="H51" s="19" t="s">
        <v>266</v>
      </c>
      <c r="I51" s="19" t="s">
        <v>37</v>
      </c>
      <c r="J51" s="19" t="s">
        <v>38</v>
      </c>
      <c r="K51" s="19" t="s">
        <v>39</v>
      </c>
      <c r="L51" s="22">
        <v>44144</v>
      </c>
      <c r="M51" s="19" t="s">
        <v>8</v>
      </c>
      <c r="N51" s="19" t="s">
        <v>610</v>
      </c>
      <c r="O51" s="19" t="s">
        <v>4</v>
      </c>
      <c r="P51" s="19" t="s">
        <v>4</v>
      </c>
      <c r="Q51" s="19" t="s">
        <v>204</v>
      </c>
      <c r="R51" s="22">
        <v>28681</v>
      </c>
      <c r="S51" s="19" t="s">
        <v>206</v>
      </c>
      <c r="T51" s="19" t="s">
        <v>434</v>
      </c>
      <c r="U51" s="19" t="s">
        <v>435</v>
      </c>
      <c r="V51" s="19" t="s">
        <v>295</v>
      </c>
      <c r="W51" s="19" t="s">
        <v>4</v>
      </c>
      <c r="X51" s="19" t="s">
        <v>296</v>
      </c>
      <c r="Y51" s="19" t="s">
        <v>297</v>
      </c>
      <c r="Z51" s="19" t="s">
        <v>288</v>
      </c>
      <c r="AA51" s="19" t="s">
        <v>4</v>
      </c>
      <c r="AB51" s="19" t="s">
        <v>260</v>
      </c>
      <c r="AC51" s="19" t="s">
        <v>4</v>
      </c>
      <c r="AD51" s="19" t="s">
        <v>261</v>
      </c>
      <c r="AE51" s="19" t="s">
        <v>260</v>
      </c>
      <c r="AF51" s="19" t="s">
        <v>40</v>
      </c>
      <c r="AG51" s="19">
        <v>288000</v>
      </c>
      <c r="AH51" s="19" t="s">
        <v>45</v>
      </c>
      <c r="AI51" s="19">
        <v>100</v>
      </c>
      <c r="AJ51" s="19" t="s">
        <v>102</v>
      </c>
      <c r="AK51" s="19">
        <v>24000</v>
      </c>
      <c r="AL51" s="19">
        <v>174</v>
      </c>
      <c r="AM51" s="19" t="s">
        <v>220</v>
      </c>
      <c r="AN51" s="19" t="s">
        <v>221</v>
      </c>
      <c r="AO51" s="19">
        <v>8</v>
      </c>
      <c r="AP51" s="19">
        <v>5</v>
      </c>
      <c r="AQ51" s="23">
        <v>44125</v>
      </c>
      <c r="AR51" s="19" t="s">
        <v>88</v>
      </c>
      <c r="AS51" s="19" t="s">
        <v>4</v>
      </c>
      <c r="AT51" s="19" t="s">
        <v>611</v>
      </c>
      <c r="AU51" s="19" t="s">
        <v>4</v>
      </c>
      <c r="AV51" s="19" t="s">
        <v>4</v>
      </c>
      <c r="AW51" s="19" t="s">
        <v>612</v>
      </c>
      <c r="AX51" s="19" t="s">
        <v>613</v>
      </c>
      <c r="AY51" s="19" t="s">
        <v>4</v>
      </c>
      <c r="AZ51" s="19" t="s">
        <v>437</v>
      </c>
      <c r="BA51" s="19" t="s">
        <v>438</v>
      </c>
      <c r="BB51" s="19" t="s">
        <v>438</v>
      </c>
      <c r="BC51" s="19" t="s">
        <v>298</v>
      </c>
      <c r="BD51" s="19" t="s">
        <v>287</v>
      </c>
      <c r="BE51" s="20" t="s">
        <v>812</v>
      </c>
    </row>
    <row r="52" spans="1:57" x14ac:dyDescent="0.3">
      <c r="A52" s="13" t="s">
        <v>40</v>
      </c>
      <c r="B52" s="14" t="s">
        <v>291</v>
      </c>
      <c r="C52" s="14" t="s">
        <v>292</v>
      </c>
      <c r="D52" s="14" t="s">
        <v>293</v>
      </c>
      <c r="E52" s="14" t="s">
        <v>294</v>
      </c>
      <c r="F52" s="14" t="s">
        <v>614</v>
      </c>
      <c r="G52" s="14" t="s">
        <v>615</v>
      </c>
      <c r="H52" s="14" t="s">
        <v>376</v>
      </c>
      <c r="I52" s="14" t="s">
        <v>37</v>
      </c>
      <c r="J52" s="14" t="s">
        <v>38</v>
      </c>
      <c r="K52" s="14" t="s">
        <v>39</v>
      </c>
      <c r="L52" s="21">
        <v>44165</v>
      </c>
      <c r="M52" s="14" t="s">
        <v>57</v>
      </c>
      <c r="N52" s="14" t="s">
        <v>77</v>
      </c>
      <c r="O52" s="14" t="s">
        <v>4</v>
      </c>
      <c r="P52" s="14" t="s">
        <v>4</v>
      </c>
      <c r="Q52" s="14" t="s">
        <v>204</v>
      </c>
      <c r="R52" s="21">
        <v>32796</v>
      </c>
      <c r="S52" s="14" t="s">
        <v>208</v>
      </c>
      <c r="T52" s="14" t="s">
        <v>466</v>
      </c>
      <c r="U52" s="14" t="s">
        <v>467</v>
      </c>
      <c r="V52" s="14" t="s">
        <v>295</v>
      </c>
      <c r="W52" s="14" t="s">
        <v>4</v>
      </c>
      <c r="X52" s="14" t="s">
        <v>296</v>
      </c>
      <c r="Y52" s="14" t="s">
        <v>297</v>
      </c>
      <c r="Z52" s="14" t="s">
        <v>248</v>
      </c>
      <c r="AA52" s="14" t="s">
        <v>4</v>
      </c>
      <c r="AB52" s="14" t="s">
        <v>616</v>
      </c>
      <c r="AC52" s="14" t="s">
        <v>4</v>
      </c>
      <c r="AD52" s="14" t="s">
        <v>257</v>
      </c>
      <c r="AE52" s="14" t="s">
        <v>256</v>
      </c>
      <c r="AF52" s="14" t="s">
        <v>40</v>
      </c>
      <c r="AG52" s="14">
        <v>270000</v>
      </c>
      <c r="AH52" s="14" t="s">
        <v>45</v>
      </c>
      <c r="AI52" s="14">
        <v>100</v>
      </c>
      <c r="AJ52" s="14" t="s">
        <v>102</v>
      </c>
      <c r="AK52" s="14">
        <v>22500</v>
      </c>
      <c r="AL52" s="14">
        <v>174</v>
      </c>
      <c r="AM52" s="14" t="s">
        <v>220</v>
      </c>
      <c r="AN52" s="14" t="s">
        <v>221</v>
      </c>
      <c r="AO52" s="14">
        <v>8</v>
      </c>
      <c r="AP52" s="14">
        <v>5</v>
      </c>
      <c r="AQ52" s="15">
        <v>44138</v>
      </c>
      <c r="AR52" s="14" t="s">
        <v>103</v>
      </c>
      <c r="AS52" s="14" t="s">
        <v>4</v>
      </c>
      <c r="AT52" s="14" t="s">
        <v>4</v>
      </c>
      <c r="AU52" s="14" t="s">
        <v>4</v>
      </c>
      <c r="AV52" s="14" t="s">
        <v>4</v>
      </c>
      <c r="AW52" s="14" t="s">
        <v>617</v>
      </c>
      <c r="AX52" s="14" t="s">
        <v>308</v>
      </c>
      <c r="AY52" s="14" t="s">
        <v>4</v>
      </c>
      <c r="AZ52" s="14" t="s">
        <v>468</v>
      </c>
      <c r="BA52" s="14" t="s">
        <v>469</v>
      </c>
      <c r="BB52" s="14" t="s">
        <v>469</v>
      </c>
      <c r="BC52" s="14" t="s">
        <v>310</v>
      </c>
      <c r="BD52" s="14" t="s">
        <v>290</v>
      </c>
      <c r="BE52" s="16" t="s">
        <v>812</v>
      </c>
    </row>
    <row r="53" spans="1:57" x14ac:dyDescent="0.3">
      <c r="A53" s="18" t="s">
        <v>40</v>
      </c>
      <c r="B53" s="19" t="s">
        <v>291</v>
      </c>
      <c r="C53" s="19" t="s">
        <v>292</v>
      </c>
      <c r="D53" s="19" t="s">
        <v>293</v>
      </c>
      <c r="E53" s="19" t="s">
        <v>294</v>
      </c>
      <c r="F53" s="19" t="s">
        <v>614</v>
      </c>
      <c r="G53" s="19" t="s">
        <v>615</v>
      </c>
      <c r="H53" s="19" t="s">
        <v>376</v>
      </c>
      <c r="I53" s="19" t="s">
        <v>37</v>
      </c>
      <c r="J53" s="19" t="s">
        <v>38</v>
      </c>
      <c r="K53" s="19" t="s">
        <v>39</v>
      </c>
      <c r="L53" s="22">
        <v>44165</v>
      </c>
      <c r="M53" s="19" t="s">
        <v>57</v>
      </c>
      <c r="N53" s="19" t="s">
        <v>77</v>
      </c>
      <c r="O53" s="19" t="s">
        <v>4</v>
      </c>
      <c r="P53" s="19" t="s">
        <v>4</v>
      </c>
      <c r="Q53" s="19" t="s">
        <v>204</v>
      </c>
      <c r="R53" s="22">
        <v>32796</v>
      </c>
      <c r="S53" s="19" t="s">
        <v>208</v>
      </c>
      <c r="T53" s="19" t="s">
        <v>466</v>
      </c>
      <c r="U53" s="19" t="s">
        <v>467</v>
      </c>
      <c r="V53" s="19" t="s">
        <v>295</v>
      </c>
      <c r="W53" s="19" t="s">
        <v>4</v>
      </c>
      <c r="X53" s="19" t="s">
        <v>296</v>
      </c>
      <c r="Y53" s="19" t="s">
        <v>297</v>
      </c>
      <c r="Z53" s="19" t="s">
        <v>288</v>
      </c>
      <c r="AA53" s="19" t="s">
        <v>4</v>
      </c>
      <c r="AB53" s="19" t="s">
        <v>616</v>
      </c>
      <c r="AC53" s="19" t="s">
        <v>4</v>
      </c>
      <c r="AD53" s="19" t="s">
        <v>257</v>
      </c>
      <c r="AE53" s="19" t="s">
        <v>256</v>
      </c>
      <c r="AF53" s="19" t="s">
        <v>40</v>
      </c>
      <c r="AG53" s="19">
        <v>270000</v>
      </c>
      <c r="AH53" s="19" t="s">
        <v>45</v>
      </c>
      <c r="AI53" s="19">
        <v>100</v>
      </c>
      <c r="AJ53" s="19" t="s">
        <v>102</v>
      </c>
      <c r="AK53" s="19">
        <v>22500</v>
      </c>
      <c r="AL53" s="19">
        <v>174</v>
      </c>
      <c r="AM53" s="19" t="s">
        <v>220</v>
      </c>
      <c r="AN53" s="19" t="s">
        <v>221</v>
      </c>
      <c r="AO53" s="19">
        <v>8</v>
      </c>
      <c r="AP53" s="19">
        <v>5</v>
      </c>
      <c r="AQ53" s="23">
        <v>44138</v>
      </c>
      <c r="AR53" s="19" t="s">
        <v>103</v>
      </c>
      <c r="AS53" s="19" t="s">
        <v>4</v>
      </c>
      <c r="AT53" s="19" t="s">
        <v>4</v>
      </c>
      <c r="AU53" s="19" t="s">
        <v>4</v>
      </c>
      <c r="AV53" s="19" t="s">
        <v>4</v>
      </c>
      <c r="AW53" s="19" t="s">
        <v>617</v>
      </c>
      <c r="AX53" s="19" t="s">
        <v>308</v>
      </c>
      <c r="AY53" s="19" t="s">
        <v>4</v>
      </c>
      <c r="AZ53" s="19" t="s">
        <v>468</v>
      </c>
      <c r="BA53" s="19" t="s">
        <v>469</v>
      </c>
      <c r="BB53" s="19" t="s">
        <v>469</v>
      </c>
      <c r="BC53" s="19" t="s">
        <v>310</v>
      </c>
      <c r="BD53" s="19" t="s">
        <v>290</v>
      </c>
      <c r="BE53" s="20" t="s">
        <v>812</v>
      </c>
    </row>
    <row r="54" spans="1:57" x14ac:dyDescent="0.3">
      <c r="A54" s="13" t="s">
        <v>40</v>
      </c>
      <c r="B54" s="14" t="s">
        <v>299</v>
      </c>
      <c r="C54" s="14" t="s">
        <v>300</v>
      </c>
      <c r="D54" s="14" t="s">
        <v>293</v>
      </c>
      <c r="E54" s="14" t="s">
        <v>294</v>
      </c>
      <c r="F54" s="14" t="s">
        <v>618</v>
      </c>
      <c r="G54" s="14" t="s">
        <v>619</v>
      </c>
      <c r="H54" s="14" t="s">
        <v>266</v>
      </c>
      <c r="I54" s="14" t="s">
        <v>37</v>
      </c>
      <c r="J54" s="14" t="s">
        <v>38</v>
      </c>
      <c r="K54" s="14" t="s">
        <v>39</v>
      </c>
      <c r="L54" s="21">
        <v>44137</v>
      </c>
      <c r="M54" s="14" t="s">
        <v>62</v>
      </c>
      <c r="N54" s="14" t="s">
        <v>75</v>
      </c>
      <c r="O54" s="14" t="s">
        <v>4</v>
      </c>
      <c r="P54" s="14" t="s">
        <v>4</v>
      </c>
      <c r="Q54" s="14" t="s">
        <v>204</v>
      </c>
      <c r="R54" s="21">
        <v>31268</v>
      </c>
      <c r="S54" s="14" t="s">
        <v>206</v>
      </c>
      <c r="T54" s="14" t="s">
        <v>301</v>
      </c>
      <c r="U54" s="14" t="s">
        <v>302</v>
      </c>
      <c r="V54" s="14" t="s">
        <v>295</v>
      </c>
      <c r="W54" s="14" t="s">
        <v>4</v>
      </c>
      <c r="X54" s="14" t="s">
        <v>296</v>
      </c>
      <c r="Y54" s="14" t="s">
        <v>297</v>
      </c>
      <c r="Z54" s="14" t="s">
        <v>248</v>
      </c>
      <c r="AA54" s="14" t="s">
        <v>4</v>
      </c>
      <c r="AB54" s="14" t="s">
        <v>4</v>
      </c>
      <c r="AC54" s="14" t="s">
        <v>4</v>
      </c>
      <c r="AD54" s="14" t="s">
        <v>322</v>
      </c>
      <c r="AE54" s="14" t="s">
        <v>303</v>
      </c>
      <c r="AF54" s="14" t="s">
        <v>40</v>
      </c>
      <c r="AG54" s="14">
        <v>264000</v>
      </c>
      <c r="AH54" s="14" t="s">
        <v>45</v>
      </c>
      <c r="AI54" s="14">
        <v>100</v>
      </c>
      <c r="AJ54" s="14" t="s">
        <v>102</v>
      </c>
      <c r="AK54" s="14">
        <v>22000</v>
      </c>
      <c r="AL54" s="14">
        <v>174</v>
      </c>
      <c r="AM54" s="14" t="s">
        <v>220</v>
      </c>
      <c r="AN54" s="14" t="s">
        <v>221</v>
      </c>
      <c r="AO54" s="14">
        <v>8</v>
      </c>
      <c r="AP54" s="14">
        <v>5</v>
      </c>
      <c r="AQ54" s="15">
        <v>44127</v>
      </c>
      <c r="AR54" s="14" t="s">
        <v>99</v>
      </c>
      <c r="AS54" s="14" t="s">
        <v>4</v>
      </c>
      <c r="AT54" s="14" t="s">
        <v>620</v>
      </c>
      <c r="AU54" s="14" t="s">
        <v>4</v>
      </c>
      <c r="AV54" s="14" t="s">
        <v>4</v>
      </c>
      <c r="AW54" s="14" t="s">
        <v>621</v>
      </c>
      <c r="AX54" s="14" t="s">
        <v>622</v>
      </c>
      <c r="AY54" s="14" t="s">
        <v>4</v>
      </c>
      <c r="AZ54" s="14" t="s">
        <v>304</v>
      </c>
      <c r="BA54" s="14" t="s">
        <v>305</v>
      </c>
      <c r="BB54" s="14" t="s">
        <v>305</v>
      </c>
      <c r="BC54" s="14" t="s">
        <v>306</v>
      </c>
      <c r="BD54" s="14" t="s">
        <v>287</v>
      </c>
      <c r="BE54" s="16" t="s">
        <v>812</v>
      </c>
    </row>
    <row r="55" spans="1:57" x14ac:dyDescent="0.3">
      <c r="A55" s="18" t="s">
        <v>40</v>
      </c>
      <c r="B55" s="19" t="s">
        <v>299</v>
      </c>
      <c r="C55" s="19" t="s">
        <v>300</v>
      </c>
      <c r="D55" s="19" t="s">
        <v>293</v>
      </c>
      <c r="E55" s="19" t="s">
        <v>294</v>
      </c>
      <c r="F55" s="19" t="s">
        <v>618</v>
      </c>
      <c r="G55" s="19" t="s">
        <v>619</v>
      </c>
      <c r="H55" s="19" t="s">
        <v>266</v>
      </c>
      <c r="I55" s="19" t="s">
        <v>37</v>
      </c>
      <c r="J55" s="19" t="s">
        <v>38</v>
      </c>
      <c r="K55" s="19" t="s">
        <v>39</v>
      </c>
      <c r="L55" s="22">
        <v>44137</v>
      </c>
      <c r="M55" s="19" t="s">
        <v>62</v>
      </c>
      <c r="N55" s="19" t="s">
        <v>75</v>
      </c>
      <c r="O55" s="19" t="s">
        <v>4</v>
      </c>
      <c r="P55" s="19" t="s">
        <v>4</v>
      </c>
      <c r="Q55" s="19" t="s">
        <v>204</v>
      </c>
      <c r="R55" s="22">
        <v>31268</v>
      </c>
      <c r="S55" s="19" t="s">
        <v>206</v>
      </c>
      <c r="T55" s="19" t="s">
        <v>301</v>
      </c>
      <c r="U55" s="19" t="s">
        <v>302</v>
      </c>
      <c r="V55" s="19" t="s">
        <v>295</v>
      </c>
      <c r="W55" s="19" t="s">
        <v>4</v>
      </c>
      <c r="X55" s="19" t="s">
        <v>296</v>
      </c>
      <c r="Y55" s="19" t="s">
        <v>297</v>
      </c>
      <c r="Z55" s="19" t="s">
        <v>248</v>
      </c>
      <c r="AA55" s="19" t="s">
        <v>623</v>
      </c>
      <c r="AB55" s="19" t="s">
        <v>624</v>
      </c>
      <c r="AC55" s="19" t="s">
        <v>4</v>
      </c>
      <c r="AD55" s="19" t="s">
        <v>322</v>
      </c>
      <c r="AE55" s="19" t="s">
        <v>303</v>
      </c>
      <c r="AF55" s="19" t="s">
        <v>40</v>
      </c>
      <c r="AG55" s="19">
        <v>264000</v>
      </c>
      <c r="AH55" s="19" t="s">
        <v>45</v>
      </c>
      <c r="AI55" s="19">
        <v>100</v>
      </c>
      <c r="AJ55" s="19" t="s">
        <v>102</v>
      </c>
      <c r="AK55" s="19">
        <v>22000</v>
      </c>
      <c r="AL55" s="19">
        <v>174</v>
      </c>
      <c r="AM55" s="19" t="s">
        <v>220</v>
      </c>
      <c r="AN55" s="19" t="s">
        <v>221</v>
      </c>
      <c r="AO55" s="19">
        <v>8</v>
      </c>
      <c r="AP55" s="19">
        <v>5</v>
      </c>
      <c r="AQ55" s="23">
        <v>44127</v>
      </c>
      <c r="AR55" s="19" t="s">
        <v>99</v>
      </c>
      <c r="AS55" s="19" t="s">
        <v>4</v>
      </c>
      <c r="AT55" s="19" t="s">
        <v>620</v>
      </c>
      <c r="AU55" s="19" t="s">
        <v>4</v>
      </c>
      <c r="AV55" s="19" t="s">
        <v>4</v>
      </c>
      <c r="AW55" s="19" t="s">
        <v>621</v>
      </c>
      <c r="AX55" s="19" t="s">
        <v>622</v>
      </c>
      <c r="AY55" s="19" t="s">
        <v>4</v>
      </c>
      <c r="AZ55" s="19" t="s">
        <v>304</v>
      </c>
      <c r="BA55" s="19" t="s">
        <v>305</v>
      </c>
      <c r="BB55" s="19" t="s">
        <v>305</v>
      </c>
      <c r="BC55" s="19" t="s">
        <v>306</v>
      </c>
      <c r="BD55" s="19" t="s">
        <v>287</v>
      </c>
      <c r="BE55" s="20" t="s">
        <v>812</v>
      </c>
    </row>
    <row r="56" spans="1:57" x14ac:dyDescent="0.3">
      <c r="A56" s="13" t="s">
        <v>40</v>
      </c>
      <c r="B56" s="14" t="s">
        <v>299</v>
      </c>
      <c r="C56" s="14" t="s">
        <v>300</v>
      </c>
      <c r="D56" s="14" t="s">
        <v>293</v>
      </c>
      <c r="E56" s="14" t="s">
        <v>294</v>
      </c>
      <c r="F56" s="14" t="s">
        <v>618</v>
      </c>
      <c r="G56" s="14" t="s">
        <v>619</v>
      </c>
      <c r="H56" s="14" t="s">
        <v>266</v>
      </c>
      <c r="I56" s="14" t="s">
        <v>37</v>
      </c>
      <c r="J56" s="14" t="s">
        <v>38</v>
      </c>
      <c r="K56" s="14" t="s">
        <v>39</v>
      </c>
      <c r="L56" s="21">
        <v>44137</v>
      </c>
      <c r="M56" s="14" t="s">
        <v>62</v>
      </c>
      <c r="N56" s="14" t="s">
        <v>75</v>
      </c>
      <c r="O56" s="14" t="s">
        <v>4</v>
      </c>
      <c r="P56" s="14" t="s">
        <v>4</v>
      </c>
      <c r="Q56" s="14" t="s">
        <v>204</v>
      </c>
      <c r="R56" s="21">
        <v>31268</v>
      </c>
      <c r="S56" s="14" t="s">
        <v>206</v>
      </c>
      <c r="T56" s="14" t="s">
        <v>301</v>
      </c>
      <c r="U56" s="14" t="s">
        <v>302</v>
      </c>
      <c r="V56" s="14" t="s">
        <v>295</v>
      </c>
      <c r="W56" s="14" t="s">
        <v>4</v>
      </c>
      <c r="X56" s="14" t="s">
        <v>296</v>
      </c>
      <c r="Y56" s="14" t="s">
        <v>297</v>
      </c>
      <c r="Z56" s="14" t="s">
        <v>288</v>
      </c>
      <c r="AA56" s="14" t="s">
        <v>4</v>
      </c>
      <c r="AB56" s="14" t="s">
        <v>4</v>
      </c>
      <c r="AC56" s="14" t="s">
        <v>4</v>
      </c>
      <c r="AD56" s="14" t="s">
        <v>322</v>
      </c>
      <c r="AE56" s="14" t="s">
        <v>303</v>
      </c>
      <c r="AF56" s="14" t="s">
        <v>40</v>
      </c>
      <c r="AG56" s="14">
        <v>264000</v>
      </c>
      <c r="AH56" s="14" t="s">
        <v>45</v>
      </c>
      <c r="AI56" s="14">
        <v>100</v>
      </c>
      <c r="AJ56" s="14" t="s">
        <v>102</v>
      </c>
      <c r="AK56" s="14">
        <v>22000</v>
      </c>
      <c r="AL56" s="14">
        <v>174</v>
      </c>
      <c r="AM56" s="14" t="s">
        <v>220</v>
      </c>
      <c r="AN56" s="14" t="s">
        <v>221</v>
      </c>
      <c r="AO56" s="14">
        <v>8</v>
      </c>
      <c r="AP56" s="14">
        <v>5</v>
      </c>
      <c r="AQ56" s="15">
        <v>44127</v>
      </c>
      <c r="AR56" s="14" t="s">
        <v>99</v>
      </c>
      <c r="AS56" s="14" t="s">
        <v>4</v>
      </c>
      <c r="AT56" s="14" t="s">
        <v>620</v>
      </c>
      <c r="AU56" s="14" t="s">
        <v>4</v>
      </c>
      <c r="AV56" s="14" t="s">
        <v>4</v>
      </c>
      <c r="AW56" s="14" t="s">
        <v>621</v>
      </c>
      <c r="AX56" s="14" t="s">
        <v>622</v>
      </c>
      <c r="AY56" s="14" t="s">
        <v>4</v>
      </c>
      <c r="AZ56" s="14" t="s">
        <v>304</v>
      </c>
      <c r="BA56" s="14" t="s">
        <v>305</v>
      </c>
      <c r="BB56" s="14" t="s">
        <v>305</v>
      </c>
      <c r="BC56" s="14" t="s">
        <v>306</v>
      </c>
      <c r="BD56" s="14" t="s">
        <v>287</v>
      </c>
      <c r="BE56" s="16" t="s">
        <v>812</v>
      </c>
    </row>
    <row r="57" spans="1:57" x14ac:dyDescent="0.3">
      <c r="A57" s="18" t="s">
        <v>40</v>
      </c>
      <c r="B57" s="19" t="s">
        <v>299</v>
      </c>
      <c r="C57" s="19" t="s">
        <v>300</v>
      </c>
      <c r="D57" s="19" t="s">
        <v>293</v>
      </c>
      <c r="E57" s="19" t="s">
        <v>294</v>
      </c>
      <c r="F57" s="19" t="s">
        <v>618</v>
      </c>
      <c r="G57" s="19" t="s">
        <v>619</v>
      </c>
      <c r="H57" s="19" t="s">
        <v>266</v>
      </c>
      <c r="I57" s="19" t="s">
        <v>37</v>
      </c>
      <c r="J57" s="19" t="s">
        <v>38</v>
      </c>
      <c r="K57" s="19" t="s">
        <v>39</v>
      </c>
      <c r="L57" s="22">
        <v>44137</v>
      </c>
      <c r="M57" s="19" t="s">
        <v>62</v>
      </c>
      <c r="N57" s="19" t="s">
        <v>75</v>
      </c>
      <c r="O57" s="19" t="s">
        <v>4</v>
      </c>
      <c r="P57" s="19" t="s">
        <v>4</v>
      </c>
      <c r="Q57" s="19" t="s">
        <v>204</v>
      </c>
      <c r="R57" s="22">
        <v>31268</v>
      </c>
      <c r="S57" s="19" t="s">
        <v>206</v>
      </c>
      <c r="T57" s="19" t="s">
        <v>301</v>
      </c>
      <c r="U57" s="19" t="s">
        <v>302</v>
      </c>
      <c r="V57" s="19" t="s">
        <v>295</v>
      </c>
      <c r="W57" s="19" t="s">
        <v>4</v>
      </c>
      <c r="X57" s="19" t="s">
        <v>296</v>
      </c>
      <c r="Y57" s="19" t="s">
        <v>297</v>
      </c>
      <c r="Z57" s="19" t="s">
        <v>288</v>
      </c>
      <c r="AA57" s="19" t="s">
        <v>625</v>
      </c>
      <c r="AB57" s="19" t="s">
        <v>624</v>
      </c>
      <c r="AC57" s="19" t="s">
        <v>4</v>
      </c>
      <c r="AD57" s="19" t="s">
        <v>626</v>
      </c>
      <c r="AE57" s="19" t="s">
        <v>627</v>
      </c>
      <c r="AF57" s="19" t="s">
        <v>40</v>
      </c>
      <c r="AG57" s="19">
        <v>264000</v>
      </c>
      <c r="AH57" s="19" t="s">
        <v>45</v>
      </c>
      <c r="AI57" s="19">
        <v>100</v>
      </c>
      <c r="AJ57" s="19" t="s">
        <v>102</v>
      </c>
      <c r="AK57" s="19">
        <v>22000</v>
      </c>
      <c r="AL57" s="19">
        <v>174</v>
      </c>
      <c r="AM57" s="19" t="s">
        <v>220</v>
      </c>
      <c r="AN57" s="19" t="s">
        <v>221</v>
      </c>
      <c r="AO57" s="19">
        <v>8</v>
      </c>
      <c r="AP57" s="19">
        <v>5</v>
      </c>
      <c r="AQ57" s="23">
        <v>44127</v>
      </c>
      <c r="AR57" s="19" t="s">
        <v>99</v>
      </c>
      <c r="AS57" s="19" t="s">
        <v>4</v>
      </c>
      <c r="AT57" s="19" t="s">
        <v>620</v>
      </c>
      <c r="AU57" s="19" t="s">
        <v>4</v>
      </c>
      <c r="AV57" s="19" t="s">
        <v>4</v>
      </c>
      <c r="AW57" s="19" t="s">
        <v>621</v>
      </c>
      <c r="AX57" s="19" t="s">
        <v>622</v>
      </c>
      <c r="AY57" s="19" t="s">
        <v>4</v>
      </c>
      <c r="AZ57" s="19" t="s">
        <v>304</v>
      </c>
      <c r="BA57" s="19" t="s">
        <v>305</v>
      </c>
      <c r="BB57" s="19" t="s">
        <v>305</v>
      </c>
      <c r="BC57" s="19" t="s">
        <v>306</v>
      </c>
      <c r="BD57" s="19" t="s">
        <v>287</v>
      </c>
      <c r="BE57" s="20" t="s">
        <v>812</v>
      </c>
    </row>
    <row r="58" spans="1:57" x14ac:dyDescent="0.3">
      <c r="A58" s="13" t="s">
        <v>40</v>
      </c>
      <c r="B58" s="14" t="s">
        <v>299</v>
      </c>
      <c r="C58" s="14" t="s">
        <v>300</v>
      </c>
      <c r="D58" s="14" t="s">
        <v>293</v>
      </c>
      <c r="E58" s="14" t="s">
        <v>294</v>
      </c>
      <c r="F58" s="14" t="s">
        <v>628</v>
      </c>
      <c r="G58" s="14" t="s">
        <v>629</v>
      </c>
      <c r="H58" s="14" t="s">
        <v>376</v>
      </c>
      <c r="I58" s="14" t="s">
        <v>37</v>
      </c>
      <c r="J58" s="14" t="s">
        <v>38</v>
      </c>
      <c r="K58" s="14" t="s">
        <v>39</v>
      </c>
      <c r="L58" s="21">
        <v>44136</v>
      </c>
      <c r="M58" s="14" t="s">
        <v>9</v>
      </c>
      <c r="N58" s="14" t="s">
        <v>87</v>
      </c>
      <c r="O58" s="14" t="s">
        <v>4</v>
      </c>
      <c r="P58" s="14" t="s">
        <v>4</v>
      </c>
      <c r="Q58" s="14" t="s">
        <v>204</v>
      </c>
      <c r="R58" s="21">
        <v>34880</v>
      </c>
      <c r="S58" s="14" t="s">
        <v>206</v>
      </c>
      <c r="T58" s="14" t="s">
        <v>630</v>
      </c>
      <c r="U58" s="14" t="s">
        <v>302</v>
      </c>
      <c r="V58" s="14" t="s">
        <v>295</v>
      </c>
      <c r="W58" s="14" t="s">
        <v>4</v>
      </c>
      <c r="X58" s="14" t="s">
        <v>296</v>
      </c>
      <c r="Y58" s="14" t="s">
        <v>297</v>
      </c>
      <c r="Z58" s="14" t="s">
        <v>248</v>
      </c>
      <c r="AA58" s="14" t="s">
        <v>4</v>
      </c>
      <c r="AB58" s="14" t="s">
        <v>631</v>
      </c>
      <c r="AC58" s="14" t="s">
        <v>632</v>
      </c>
      <c r="AD58" s="14" t="s">
        <v>377</v>
      </c>
      <c r="AE58" s="14" t="s">
        <v>303</v>
      </c>
      <c r="AF58" s="14" t="s">
        <v>40</v>
      </c>
      <c r="AG58" s="14">
        <v>180000</v>
      </c>
      <c r="AH58" s="14" t="s">
        <v>45</v>
      </c>
      <c r="AI58" s="14">
        <v>100</v>
      </c>
      <c r="AJ58" s="14" t="s">
        <v>102</v>
      </c>
      <c r="AK58" s="14">
        <v>15000</v>
      </c>
      <c r="AL58" s="14">
        <v>174</v>
      </c>
      <c r="AM58" s="14" t="s">
        <v>220</v>
      </c>
      <c r="AN58" s="14" t="s">
        <v>221</v>
      </c>
      <c r="AO58" s="14">
        <v>8</v>
      </c>
      <c r="AP58" s="14">
        <v>5</v>
      </c>
      <c r="AQ58" s="15">
        <v>44130</v>
      </c>
      <c r="AR58" s="14" t="s">
        <v>99</v>
      </c>
      <c r="AS58" s="14" t="s">
        <v>4</v>
      </c>
      <c r="AT58" s="14" t="s">
        <v>633</v>
      </c>
      <c r="AU58" s="14" t="s">
        <v>4</v>
      </c>
      <c r="AV58" s="14" t="s">
        <v>4</v>
      </c>
      <c r="AW58" s="14" t="s">
        <v>634</v>
      </c>
      <c r="AX58" s="14" t="s">
        <v>308</v>
      </c>
      <c r="AY58" s="14" t="s">
        <v>4</v>
      </c>
      <c r="AZ58" s="14" t="s">
        <v>635</v>
      </c>
      <c r="BA58" s="14" t="s">
        <v>636</v>
      </c>
      <c r="BB58" s="14" t="s">
        <v>636</v>
      </c>
      <c r="BC58" s="14" t="s">
        <v>306</v>
      </c>
      <c r="BD58" s="14" t="s">
        <v>287</v>
      </c>
      <c r="BE58" s="16" t="s">
        <v>812</v>
      </c>
    </row>
    <row r="59" spans="1:57" x14ac:dyDescent="0.3">
      <c r="A59" s="18" t="s">
        <v>40</v>
      </c>
      <c r="B59" s="19" t="s">
        <v>299</v>
      </c>
      <c r="C59" s="19" t="s">
        <v>300</v>
      </c>
      <c r="D59" s="19" t="s">
        <v>293</v>
      </c>
      <c r="E59" s="19" t="s">
        <v>294</v>
      </c>
      <c r="F59" s="19" t="s">
        <v>628</v>
      </c>
      <c r="G59" s="19" t="s">
        <v>629</v>
      </c>
      <c r="H59" s="19" t="s">
        <v>376</v>
      </c>
      <c r="I59" s="19" t="s">
        <v>37</v>
      </c>
      <c r="J59" s="19" t="s">
        <v>38</v>
      </c>
      <c r="K59" s="19" t="s">
        <v>39</v>
      </c>
      <c r="L59" s="22">
        <v>44136</v>
      </c>
      <c r="M59" s="19" t="s">
        <v>9</v>
      </c>
      <c r="N59" s="19" t="s">
        <v>87</v>
      </c>
      <c r="O59" s="19" t="s">
        <v>4</v>
      </c>
      <c r="P59" s="19" t="s">
        <v>4</v>
      </c>
      <c r="Q59" s="19" t="s">
        <v>204</v>
      </c>
      <c r="R59" s="22">
        <v>34880</v>
      </c>
      <c r="S59" s="19" t="s">
        <v>206</v>
      </c>
      <c r="T59" s="19" t="s">
        <v>630</v>
      </c>
      <c r="U59" s="19" t="s">
        <v>302</v>
      </c>
      <c r="V59" s="19" t="s">
        <v>295</v>
      </c>
      <c r="W59" s="19" t="s">
        <v>4</v>
      </c>
      <c r="X59" s="19" t="s">
        <v>296</v>
      </c>
      <c r="Y59" s="19" t="s">
        <v>297</v>
      </c>
      <c r="Z59" s="19" t="s">
        <v>288</v>
      </c>
      <c r="AA59" s="19" t="s">
        <v>4</v>
      </c>
      <c r="AB59" s="19" t="s">
        <v>631</v>
      </c>
      <c r="AC59" s="19" t="s">
        <v>632</v>
      </c>
      <c r="AD59" s="19" t="s">
        <v>377</v>
      </c>
      <c r="AE59" s="19" t="s">
        <v>303</v>
      </c>
      <c r="AF59" s="19" t="s">
        <v>40</v>
      </c>
      <c r="AG59" s="19">
        <v>180000</v>
      </c>
      <c r="AH59" s="19" t="s">
        <v>45</v>
      </c>
      <c r="AI59" s="19">
        <v>100</v>
      </c>
      <c r="AJ59" s="19" t="s">
        <v>102</v>
      </c>
      <c r="AK59" s="19">
        <v>15000</v>
      </c>
      <c r="AL59" s="19">
        <v>174</v>
      </c>
      <c r="AM59" s="19" t="s">
        <v>220</v>
      </c>
      <c r="AN59" s="19" t="s">
        <v>221</v>
      </c>
      <c r="AO59" s="19">
        <v>8</v>
      </c>
      <c r="AP59" s="19">
        <v>5</v>
      </c>
      <c r="AQ59" s="23">
        <v>44130</v>
      </c>
      <c r="AR59" s="19" t="s">
        <v>99</v>
      </c>
      <c r="AS59" s="19" t="s">
        <v>4</v>
      </c>
      <c r="AT59" s="19" t="s">
        <v>633</v>
      </c>
      <c r="AU59" s="19" t="s">
        <v>4</v>
      </c>
      <c r="AV59" s="19" t="s">
        <v>4</v>
      </c>
      <c r="AW59" s="19" t="s">
        <v>634</v>
      </c>
      <c r="AX59" s="19" t="s">
        <v>308</v>
      </c>
      <c r="AY59" s="19" t="s">
        <v>4</v>
      </c>
      <c r="AZ59" s="19" t="s">
        <v>635</v>
      </c>
      <c r="BA59" s="19" t="s">
        <v>636</v>
      </c>
      <c r="BB59" s="19" t="s">
        <v>636</v>
      </c>
      <c r="BC59" s="19" t="s">
        <v>306</v>
      </c>
      <c r="BD59" s="19" t="s">
        <v>287</v>
      </c>
      <c r="BE59" s="20" t="s">
        <v>812</v>
      </c>
    </row>
    <row r="60" spans="1:57" x14ac:dyDescent="0.3">
      <c r="A60" s="13" t="s">
        <v>40</v>
      </c>
      <c r="B60" s="14" t="s">
        <v>291</v>
      </c>
      <c r="C60" s="14" t="s">
        <v>292</v>
      </c>
      <c r="D60" s="14" t="s">
        <v>293</v>
      </c>
      <c r="E60" s="14" t="s">
        <v>294</v>
      </c>
      <c r="F60" s="14" t="s">
        <v>637</v>
      </c>
      <c r="G60" s="14" t="s">
        <v>638</v>
      </c>
      <c r="H60" s="14" t="s">
        <v>266</v>
      </c>
      <c r="I60" s="14" t="s">
        <v>37</v>
      </c>
      <c r="J60" s="14" t="s">
        <v>38</v>
      </c>
      <c r="K60" s="14" t="s">
        <v>39</v>
      </c>
      <c r="L60" s="21">
        <v>44133</v>
      </c>
      <c r="M60" s="14" t="s">
        <v>111</v>
      </c>
      <c r="N60" s="14" t="s">
        <v>639</v>
      </c>
      <c r="O60" s="14" t="s">
        <v>4</v>
      </c>
      <c r="P60" s="14" t="s">
        <v>4</v>
      </c>
      <c r="Q60" s="14" t="s">
        <v>204</v>
      </c>
      <c r="R60" s="21">
        <v>31015</v>
      </c>
      <c r="S60" s="14" t="s">
        <v>206</v>
      </c>
      <c r="T60" s="14" t="s">
        <v>640</v>
      </c>
      <c r="U60" s="14" t="s">
        <v>641</v>
      </c>
      <c r="V60" s="14" t="s">
        <v>295</v>
      </c>
      <c r="W60" s="14" t="s">
        <v>4</v>
      </c>
      <c r="X60" s="14" t="s">
        <v>296</v>
      </c>
      <c r="Y60" s="14" t="s">
        <v>297</v>
      </c>
      <c r="Z60" s="14" t="s">
        <v>248</v>
      </c>
      <c r="AA60" s="14" t="s">
        <v>4</v>
      </c>
      <c r="AB60" s="14" t="s">
        <v>642</v>
      </c>
      <c r="AC60" s="14" t="s">
        <v>4</v>
      </c>
      <c r="AD60" s="14" t="s">
        <v>643</v>
      </c>
      <c r="AE60" s="14" t="s">
        <v>644</v>
      </c>
      <c r="AF60" s="14" t="s">
        <v>40</v>
      </c>
      <c r="AG60" s="14">
        <v>222000</v>
      </c>
      <c r="AH60" s="14" t="s">
        <v>45</v>
      </c>
      <c r="AI60" s="14">
        <v>100</v>
      </c>
      <c r="AJ60" s="14" t="s">
        <v>102</v>
      </c>
      <c r="AK60" s="14">
        <v>18500</v>
      </c>
      <c r="AL60" s="14">
        <v>174</v>
      </c>
      <c r="AM60" s="14" t="s">
        <v>220</v>
      </c>
      <c r="AN60" s="14" t="s">
        <v>221</v>
      </c>
      <c r="AO60" s="14">
        <v>8</v>
      </c>
      <c r="AP60" s="14">
        <v>5</v>
      </c>
      <c r="AQ60" s="15">
        <v>44133</v>
      </c>
      <c r="AR60" s="14" t="s">
        <v>88</v>
      </c>
      <c r="AS60" s="14" t="s">
        <v>4</v>
      </c>
      <c r="AT60" s="14" t="s">
        <v>645</v>
      </c>
      <c r="AU60" s="14" t="s">
        <v>4</v>
      </c>
      <c r="AV60" s="14" t="s">
        <v>4</v>
      </c>
      <c r="AW60" s="14" t="s">
        <v>646</v>
      </c>
      <c r="AX60" s="14" t="s">
        <v>413</v>
      </c>
      <c r="AY60" s="14" t="s">
        <v>4</v>
      </c>
      <c r="AZ60" s="14" t="s">
        <v>647</v>
      </c>
      <c r="BA60" s="14" t="s">
        <v>648</v>
      </c>
      <c r="BB60" s="14" t="s">
        <v>648</v>
      </c>
      <c r="BC60" s="14" t="s">
        <v>649</v>
      </c>
      <c r="BD60" s="14" t="s">
        <v>287</v>
      </c>
      <c r="BE60" s="16" t="s">
        <v>812</v>
      </c>
    </row>
    <row r="61" spans="1:57" x14ac:dyDescent="0.3">
      <c r="A61" s="18" t="s">
        <v>40</v>
      </c>
      <c r="B61" s="19" t="s">
        <v>291</v>
      </c>
      <c r="C61" s="19" t="s">
        <v>292</v>
      </c>
      <c r="D61" s="19" t="s">
        <v>293</v>
      </c>
      <c r="E61" s="19" t="s">
        <v>294</v>
      </c>
      <c r="F61" s="19" t="s">
        <v>637</v>
      </c>
      <c r="G61" s="19" t="s">
        <v>638</v>
      </c>
      <c r="H61" s="19" t="s">
        <v>266</v>
      </c>
      <c r="I61" s="19" t="s">
        <v>37</v>
      </c>
      <c r="J61" s="19" t="s">
        <v>38</v>
      </c>
      <c r="K61" s="19" t="s">
        <v>39</v>
      </c>
      <c r="L61" s="22">
        <v>44133</v>
      </c>
      <c r="M61" s="19" t="s">
        <v>111</v>
      </c>
      <c r="N61" s="19" t="s">
        <v>639</v>
      </c>
      <c r="O61" s="19" t="s">
        <v>4</v>
      </c>
      <c r="P61" s="19" t="s">
        <v>4</v>
      </c>
      <c r="Q61" s="19" t="s">
        <v>204</v>
      </c>
      <c r="R61" s="22">
        <v>31015</v>
      </c>
      <c r="S61" s="19" t="s">
        <v>206</v>
      </c>
      <c r="T61" s="19" t="s">
        <v>640</v>
      </c>
      <c r="U61" s="19" t="s">
        <v>641</v>
      </c>
      <c r="V61" s="19" t="s">
        <v>295</v>
      </c>
      <c r="W61" s="19" t="s">
        <v>4</v>
      </c>
      <c r="X61" s="19" t="s">
        <v>296</v>
      </c>
      <c r="Y61" s="19" t="s">
        <v>297</v>
      </c>
      <c r="Z61" s="19" t="s">
        <v>288</v>
      </c>
      <c r="AA61" s="19" t="s">
        <v>4</v>
      </c>
      <c r="AB61" s="19" t="s">
        <v>642</v>
      </c>
      <c r="AC61" s="19" t="s">
        <v>4</v>
      </c>
      <c r="AD61" s="19" t="s">
        <v>643</v>
      </c>
      <c r="AE61" s="19" t="s">
        <v>644</v>
      </c>
      <c r="AF61" s="19" t="s">
        <v>40</v>
      </c>
      <c r="AG61" s="19">
        <v>222000</v>
      </c>
      <c r="AH61" s="19" t="s">
        <v>45</v>
      </c>
      <c r="AI61" s="19">
        <v>100</v>
      </c>
      <c r="AJ61" s="19" t="s">
        <v>102</v>
      </c>
      <c r="AK61" s="19">
        <v>18500</v>
      </c>
      <c r="AL61" s="19">
        <v>174</v>
      </c>
      <c r="AM61" s="19" t="s">
        <v>220</v>
      </c>
      <c r="AN61" s="19" t="s">
        <v>221</v>
      </c>
      <c r="AO61" s="19">
        <v>8</v>
      </c>
      <c r="AP61" s="19">
        <v>5</v>
      </c>
      <c r="AQ61" s="23">
        <v>44133</v>
      </c>
      <c r="AR61" s="19" t="s">
        <v>88</v>
      </c>
      <c r="AS61" s="19" t="s">
        <v>4</v>
      </c>
      <c r="AT61" s="19" t="s">
        <v>645</v>
      </c>
      <c r="AU61" s="19" t="s">
        <v>4</v>
      </c>
      <c r="AV61" s="19" t="s">
        <v>4</v>
      </c>
      <c r="AW61" s="19" t="s">
        <v>646</v>
      </c>
      <c r="AX61" s="19" t="s">
        <v>413</v>
      </c>
      <c r="AY61" s="19" t="s">
        <v>4</v>
      </c>
      <c r="AZ61" s="19" t="s">
        <v>647</v>
      </c>
      <c r="BA61" s="19" t="s">
        <v>648</v>
      </c>
      <c r="BB61" s="19" t="s">
        <v>648</v>
      </c>
      <c r="BC61" s="19" t="s">
        <v>649</v>
      </c>
      <c r="BD61" s="19" t="s">
        <v>287</v>
      </c>
      <c r="BE61" s="20" t="s">
        <v>812</v>
      </c>
    </row>
    <row r="62" spans="1:57" x14ac:dyDescent="0.3">
      <c r="A62" s="13" t="s">
        <v>40</v>
      </c>
      <c r="B62" s="14" t="s">
        <v>291</v>
      </c>
      <c r="C62" s="14" t="s">
        <v>292</v>
      </c>
      <c r="D62" s="14" t="s">
        <v>5</v>
      </c>
      <c r="E62" s="14" t="s">
        <v>6</v>
      </c>
      <c r="F62" s="14" t="s">
        <v>650</v>
      </c>
      <c r="G62" s="14" t="s">
        <v>651</v>
      </c>
      <c r="H62" s="14" t="s">
        <v>266</v>
      </c>
      <c r="I62" s="14" t="s">
        <v>37</v>
      </c>
      <c r="J62" s="14" t="s">
        <v>38</v>
      </c>
      <c r="K62" s="14" t="s">
        <v>39</v>
      </c>
      <c r="L62" s="21">
        <v>44151</v>
      </c>
      <c r="M62" s="14" t="s">
        <v>518</v>
      </c>
      <c r="N62" s="14" t="s">
        <v>652</v>
      </c>
      <c r="O62" s="14" t="s">
        <v>4</v>
      </c>
      <c r="P62" s="14" t="s">
        <v>4</v>
      </c>
      <c r="Q62" s="14" t="s">
        <v>204</v>
      </c>
      <c r="R62" s="21">
        <v>30438</v>
      </c>
      <c r="S62" s="14" t="s">
        <v>206</v>
      </c>
      <c r="T62" s="14" t="s">
        <v>434</v>
      </c>
      <c r="U62" s="14" t="s">
        <v>435</v>
      </c>
      <c r="V62" s="14" t="s">
        <v>295</v>
      </c>
      <c r="W62" s="14" t="s">
        <v>4</v>
      </c>
      <c r="X62" s="14" t="s">
        <v>296</v>
      </c>
      <c r="Y62" s="14" t="s">
        <v>297</v>
      </c>
      <c r="Z62" s="14" t="s">
        <v>248</v>
      </c>
      <c r="AA62" s="14" t="s">
        <v>4</v>
      </c>
      <c r="AB62" s="14" t="s">
        <v>653</v>
      </c>
      <c r="AC62" s="14" t="s">
        <v>4</v>
      </c>
      <c r="AD62" s="14" t="s">
        <v>261</v>
      </c>
      <c r="AE62" s="14" t="s">
        <v>260</v>
      </c>
      <c r="AF62" s="14" t="s">
        <v>40</v>
      </c>
      <c r="AG62" s="14">
        <v>360000</v>
      </c>
      <c r="AH62" s="14" t="s">
        <v>45</v>
      </c>
      <c r="AI62" s="14">
        <v>100</v>
      </c>
      <c r="AJ62" s="14" t="s">
        <v>102</v>
      </c>
      <c r="AK62" s="14">
        <v>30000</v>
      </c>
      <c r="AL62" s="14">
        <v>174</v>
      </c>
      <c r="AM62" s="14" t="s">
        <v>220</v>
      </c>
      <c r="AN62" s="14" t="s">
        <v>221</v>
      </c>
      <c r="AO62" s="14">
        <v>8</v>
      </c>
      <c r="AP62" s="14">
        <v>5</v>
      </c>
      <c r="AQ62" s="15">
        <v>44140</v>
      </c>
      <c r="AR62" s="14" t="s">
        <v>103</v>
      </c>
      <c r="AS62" s="14" t="s">
        <v>4</v>
      </c>
      <c r="AT62" s="14" t="s">
        <v>4</v>
      </c>
      <c r="AU62" s="14" t="s">
        <v>4</v>
      </c>
      <c r="AV62" s="14" t="s">
        <v>4</v>
      </c>
      <c r="AW62" s="14" t="s">
        <v>654</v>
      </c>
      <c r="AX62" s="14" t="s">
        <v>613</v>
      </c>
      <c r="AY62" s="14" t="s">
        <v>4</v>
      </c>
      <c r="AZ62" s="14" t="s">
        <v>437</v>
      </c>
      <c r="BA62" s="14" t="s">
        <v>438</v>
      </c>
      <c r="BB62" s="14" t="s">
        <v>438</v>
      </c>
      <c r="BC62" s="14" t="s">
        <v>298</v>
      </c>
      <c r="BD62" s="14" t="s">
        <v>252</v>
      </c>
      <c r="BE62" s="16" t="s">
        <v>812</v>
      </c>
    </row>
    <row r="63" spans="1:57" x14ac:dyDescent="0.3">
      <c r="A63" s="18" t="s">
        <v>40</v>
      </c>
      <c r="B63" s="19" t="s">
        <v>291</v>
      </c>
      <c r="C63" s="19" t="s">
        <v>292</v>
      </c>
      <c r="D63" s="19" t="s">
        <v>5</v>
      </c>
      <c r="E63" s="19" t="s">
        <v>6</v>
      </c>
      <c r="F63" s="19" t="s">
        <v>650</v>
      </c>
      <c r="G63" s="19" t="s">
        <v>651</v>
      </c>
      <c r="H63" s="19" t="s">
        <v>266</v>
      </c>
      <c r="I63" s="19" t="s">
        <v>37</v>
      </c>
      <c r="J63" s="19" t="s">
        <v>38</v>
      </c>
      <c r="K63" s="19" t="s">
        <v>39</v>
      </c>
      <c r="L63" s="22">
        <v>44151</v>
      </c>
      <c r="M63" s="19" t="s">
        <v>518</v>
      </c>
      <c r="N63" s="19" t="s">
        <v>652</v>
      </c>
      <c r="O63" s="19" t="s">
        <v>4</v>
      </c>
      <c r="P63" s="19" t="s">
        <v>4</v>
      </c>
      <c r="Q63" s="19" t="s">
        <v>204</v>
      </c>
      <c r="R63" s="22">
        <v>30438</v>
      </c>
      <c r="S63" s="19" t="s">
        <v>206</v>
      </c>
      <c r="T63" s="19" t="s">
        <v>434</v>
      </c>
      <c r="U63" s="19" t="s">
        <v>435</v>
      </c>
      <c r="V63" s="19" t="s">
        <v>295</v>
      </c>
      <c r="W63" s="19" t="s">
        <v>4</v>
      </c>
      <c r="X63" s="19" t="s">
        <v>296</v>
      </c>
      <c r="Y63" s="19" t="s">
        <v>297</v>
      </c>
      <c r="Z63" s="19" t="s">
        <v>288</v>
      </c>
      <c r="AA63" s="19" t="s">
        <v>4</v>
      </c>
      <c r="AB63" s="19" t="s">
        <v>653</v>
      </c>
      <c r="AC63" s="19" t="s">
        <v>4</v>
      </c>
      <c r="AD63" s="19" t="s">
        <v>261</v>
      </c>
      <c r="AE63" s="19" t="s">
        <v>260</v>
      </c>
      <c r="AF63" s="19" t="s">
        <v>40</v>
      </c>
      <c r="AG63" s="19">
        <v>360000</v>
      </c>
      <c r="AH63" s="19" t="s">
        <v>45</v>
      </c>
      <c r="AI63" s="19">
        <v>100</v>
      </c>
      <c r="AJ63" s="19" t="s">
        <v>102</v>
      </c>
      <c r="AK63" s="19">
        <v>30000</v>
      </c>
      <c r="AL63" s="19">
        <v>174</v>
      </c>
      <c r="AM63" s="19" t="s">
        <v>220</v>
      </c>
      <c r="AN63" s="19" t="s">
        <v>221</v>
      </c>
      <c r="AO63" s="19">
        <v>8</v>
      </c>
      <c r="AP63" s="19">
        <v>5</v>
      </c>
      <c r="AQ63" s="23">
        <v>44140</v>
      </c>
      <c r="AR63" s="19" t="s">
        <v>103</v>
      </c>
      <c r="AS63" s="19" t="s">
        <v>4</v>
      </c>
      <c r="AT63" s="19" t="s">
        <v>4</v>
      </c>
      <c r="AU63" s="19" t="s">
        <v>4</v>
      </c>
      <c r="AV63" s="19" t="s">
        <v>4</v>
      </c>
      <c r="AW63" s="19" t="s">
        <v>654</v>
      </c>
      <c r="AX63" s="19" t="s">
        <v>613</v>
      </c>
      <c r="AY63" s="19" t="s">
        <v>4</v>
      </c>
      <c r="AZ63" s="19" t="s">
        <v>437</v>
      </c>
      <c r="BA63" s="19" t="s">
        <v>438</v>
      </c>
      <c r="BB63" s="19" t="s">
        <v>438</v>
      </c>
      <c r="BC63" s="19" t="s">
        <v>298</v>
      </c>
      <c r="BD63" s="19" t="s">
        <v>252</v>
      </c>
      <c r="BE63" s="20" t="s">
        <v>812</v>
      </c>
    </row>
    <row r="64" spans="1:57" x14ac:dyDescent="0.3">
      <c r="A64" s="13" t="s">
        <v>40</v>
      </c>
      <c r="B64" s="14" t="s">
        <v>291</v>
      </c>
      <c r="C64" s="14" t="s">
        <v>292</v>
      </c>
      <c r="D64" s="14" t="s">
        <v>293</v>
      </c>
      <c r="E64" s="14" t="s">
        <v>294</v>
      </c>
      <c r="F64" s="14" t="s">
        <v>655</v>
      </c>
      <c r="G64" s="14" t="s">
        <v>656</v>
      </c>
      <c r="H64" s="14" t="s">
        <v>266</v>
      </c>
      <c r="I64" s="14" t="s">
        <v>37</v>
      </c>
      <c r="J64" s="14" t="s">
        <v>38</v>
      </c>
      <c r="K64" s="14" t="s">
        <v>39</v>
      </c>
      <c r="L64" s="21">
        <v>44158</v>
      </c>
      <c r="M64" s="14" t="s">
        <v>8</v>
      </c>
      <c r="N64" s="14" t="s">
        <v>657</v>
      </c>
      <c r="O64" s="14" t="s">
        <v>4</v>
      </c>
      <c r="P64" s="14" t="s">
        <v>4</v>
      </c>
      <c r="Q64" s="14" t="s">
        <v>204</v>
      </c>
      <c r="R64" s="21">
        <v>29850</v>
      </c>
      <c r="S64" s="14" t="s">
        <v>206</v>
      </c>
      <c r="T64" s="14" t="s">
        <v>658</v>
      </c>
      <c r="U64" s="14" t="s">
        <v>659</v>
      </c>
      <c r="V64" s="14" t="s">
        <v>295</v>
      </c>
      <c r="W64" s="14" t="s">
        <v>4</v>
      </c>
      <c r="X64" s="14" t="s">
        <v>296</v>
      </c>
      <c r="Y64" s="14" t="s">
        <v>297</v>
      </c>
      <c r="Z64" s="14" t="s">
        <v>248</v>
      </c>
      <c r="AA64" s="14" t="s">
        <v>4</v>
      </c>
      <c r="AB64" s="14" t="s">
        <v>660</v>
      </c>
      <c r="AC64" s="14" t="s">
        <v>4</v>
      </c>
      <c r="AD64" s="14" t="s">
        <v>261</v>
      </c>
      <c r="AE64" s="14" t="s">
        <v>260</v>
      </c>
      <c r="AF64" s="14" t="s">
        <v>40</v>
      </c>
      <c r="AG64" s="14">
        <v>396000</v>
      </c>
      <c r="AH64" s="14" t="s">
        <v>45</v>
      </c>
      <c r="AI64" s="14">
        <v>100</v>
      </c>
      <c r="AJ64" s="14" t="s">
        <v>102</v>
      </c>
      <c r="AK64" s="14">
        <v>33000</v>
      </c>
      <c r="AL64" s="14">
        <v>174</v>
      </c>
      <c r="AM64" s="14" t="s">
        <v>220</v>
      </c>
      <c r="AN64" s="14" t="s">
        <v>221</v>
      </c>
      <c r="AO64" s="14">
        <v>8</v>
      </c>
      <c r="AP64" s="14">
        <v>5</v>
      </c>
      <c r="AQ64" s="15">
        <v>44133</v>
      </c>
      <c r="AR64" s="14" t="s">
        <v>100</v>
      </c>
      <c r="AS64" s="14" t="s">
        <v>4</v>
      </c>
      <c r="AT64" s="14" t="s">
        <v>4</v>
      </c>
      <c r="AU64" s="14" t="s">
        <v>4</v>
      </c>
      <c r="AV64" s="14" t="s">
        <v>4</v>
      </c>
      <c r="AW64" s="14" t="s">
        <v>661</v>
      </c>
      <c r="AX64" s="14" t="s">
        <v>662</v>
      </c>
      <c r="AY64" s="14" t="s">
        <v>4</v>
      </c>
      <c r="AZ64" s="14" t="s">
        <v>663</v>
      </c>
      <c r="BA64" s="14" t="s">
        <v>664</v>
      </c>
      <c r="BB64" s="14" t="s">
        <v>664</v>
      </c>
      <c r="BC64" s="14" t="s">
        <v>298</v>
      </c>
      <c r="BD64" s="14" t="s">
        <v>287</v>
      </c>
      <c r="BE64" s="16" t="s">
        <v>812</v>
      </c>
    </row>
    <row r="65" spans="1:57" x14ac:dyDescent="0.3">
      <c r="A65" s="18" t="s">
        <v>40</v>
      </c>
      <c r="B65" s="19" t="s">
        <v>291</v>
      </c>
      <c r="C65" s="19" t="s">
        <v>292</v>
      </c>
      <c r="D65" s="19" t="s">
        <v>293</v>
      </c>
      <c r="E65" s="19" t="s">
        <v>294</v>
      </c>
      <c r="F65" s="19" t="s">
        <v>655</v>
      </c>
      <c r="G65" s="19" t="s">
        <v>656</v>
      </c>
      <c r="H65" s="19" t="s">
        <v>266</v>
      </c>
      <c r="I65" s="19" t="s">
        <v>37</v>
      </c>
      <c r="J65" s="19" t="s">
        <v>38</v>
      </c>
      <c r="K65" s="19" t="s">
        <v>39</v>
      </c>
      <c r="L65" s="22">
        <v>44158</v>
      </c>
      <c r="M65" s="19" t="s">
        <v>8</v>
      </c>
      <c r="N65" s="19" t="s">
        <v>657</v>
      </c>
      <c r="O65" s="19" t="s">
        <v>4</v>
      </c>
      <c r="P65" s="19" t="s">
        <v>4</v>
      </c>
      <c r="Q65" s="19" t="s">
        <v>204</v>
      </c>
      <c r="R65" s="22">
        <v>29850</v>
      </c>
      <c r="S65" s="19" t="s">
        <v>206</v>
      </c>
      <c r="T65" s="19" t="s">
        <v>658</v>
      </c>
      <c r="U65" s="19" t="s">
        <v>659</v>
      </c>
      <c r="V65" s="19" t="s">
        <v>295</v>
      </c>
      <c r="W65" s="19" t="s">
        <v>4</v>
      </c>
      <c r="X65" s="19" t="s">
        <v>296</v>
      </c>
      <c r="Y65" s="19" t="s">
        <v>297</v>
      </c>
      <c r="Z65" s="19" t="s">
        <v>288</v>
      </c>
      <c r="AA65" s="19" t="s">
        <v>4</v>
      </c>
      <c r="AB65" s="19" t="s">
        <v>660</v>
      </c>
      <c r="AC65" s="19" t="s">
        <v>4</v>
      </c>
      <c r="AD65" s="19" t="s">
        <v>261</v>
      </c>
      <c r="AE65" s="19" t="s">
        <v>260</v>
      </c>
      <c r="AF65" s="19" t="s">
        <v>40</v>
      </c>
      <c r="AG65" s="19">
        <v>396000</v>
      </c>
      <c r="AH65" s="19" t="s">
        <v>45</v>
      </c>
      <c r="AI65" s="19">
        <v>100</v>
      </c>
      <c r="AJ65" s="19" t="s">
        <v>102</v>
      </c>
      <c r="AK65" s="19">
        <v>33000</v>
      </c>
      <c r="AL65" s="19">
        <v>174</v>
      </c>
      <c r="AM65" s="19" t="s">
        <v>220</v>
      </c>
      <c r="AN65" s="19" t="s">
        <v>221</v>
      </c>
      <c r="AO65" s="19">
        <v>8</v>
      </c>
      <c r="AP65" s="19">
        <v>5</v>
      </c>
      <c r="AQ65" s="23">
        <v>44133</v>
      </c>
      <c r="AR65" s="19" t="s">
        <v>100</v>
      </c>
      <c r="AS65" s="19" t="s">
        <v>4</v>
      </c>
      <c r="AT65" s="19" t="s">
        <v>4</v>
      </c>
      <c r="AU65" s="19" t="s">
        <v>4</v>
      </c>
      <c r="AV65" s="19" t="s">
        <v>4</v>
      </c>
      <c r="AW65" s="19" t="s">
        <v>661</v>
      </c>
      <c r="AX65" s="19" t="s">
        <v>662</v>
      </c>
      <c r="AY65" s="19" t="s">
        <v>4</v>
      </c>
      <c r="AZ65" s="19" t="s">
        <v>663</v>
      </c>
      <c r="BA65" s="19" t="s">
        <v>664</v>
      </c>
      <c r="BB65" s="19" t="s">
        <v>664</v>
      </c>
      <c r="BC65" s="19" t="s">
        <v>298</v>
      </c>
      <c r="BD65" s="19" t="s">
        <v>287</v>
      </c>
      <c r="BE65" s="20" t="s">
        <v>812</v>
      </c>
    </row>
    <row r="66" spans="1:57" x14ac:dyDescent="0.3">
      <c r="A66" s="13" t="s">
        <v>40</v>
      </c>
      <c r="B66" s="14" t="s">
        <v>291</v>
      </c>
      <c r="C66" s="14" t="s">
        <v>292</v>
      </c>
      <c r="D66" s="14" t="s">
        <v>293</v>
      </c>
      <c r="E66" s="14" t="s">
        <v>294</v>
      </c>
      <c r="F66" s="14" t="s">
        <v>665</v>
      </c>
      <c r="G66" s="14" t="s">
        <v>666</v>
      </c>
      <c r="H66" s="14" t="s">
        <v>266</v>
      </c>
      <c r="I66" s="14" t="s">
        <v>37</v>
      </c>
      <c r="J66" s="14" t="s">
        <v>38</v>
      </c>
      <c r="K66" s="14" t="s">
        <v>39</v>
      </c>
      <c r="L66" s="21">
        <v>44165</v>
      </c>
      <c r="M66" s="14" t="s">
        <v>82</v>
      </c>
      <c r="N66" s="14" t="s">
        <v>58</v>
      </c>
      <c r="O66" s="14" t="s">
        <v>4</v>
      </c>
      <c r="P66" s="14" t="s">
        <v>4</v>
      </c>
      <c r="Q66" s="14" t="s">
        <v>204</v>
      </c>
      <c r="R66" s="21">
        <v>33788</v>
      </c>
      <c r="S66" s="14" t="s">
        <v>206</v>
      </c>
      <c r="T66" s="14" t="s">
        <v>486</v>
      </c>
      <c r="U66" s="14" t="s">
        <v>487</v>
      </c>
      <c r="V66" s="14" t="s">
        <v>295</v>
      </c>
      <c r="W66" s="14" t="s">
        <v>4</v>
      </c>
      <c r="X66" s="14" t="s">
        <v>296</v>
      </c>
      <c r="Y66" s="14" t="s">
        <v>297</v>
      </c>
      <c r="Z66" s="14" t="s">
        <v>248</v>
      </c>
      <c r="AA66" s="14" t="s">
        <v>4</v>
      </c>
      <c r="AB66" s="14" t="s">
        <v>667</v>
      </c>
      <c r="AC66" s="14" t="s">
        <v>4</v>
      </c>
      <c r="AD66" s="14" t="s">
        <v>307</v>
      </c>
      <c r="AE66" s="14" t="s">
        <v>260</v>
      </c>
      <c r="AF66" s="14" t="s">
        <v>40</v>
      </c>
      <c r="AG66" s="14">
        <v>300000</v>
      </c>
      <c r="AH66" s="14" t="s">
        <v>45</v>
      </c>
      <c r="AI66" s="14">
        <v>100</v>
      </c>
      <c r="AJ66" s="14" t="s">
        <v>102</v>
      </c>
      <c r="AK66" s="14">
        <v>25000</v>
      </c>
      <c r="AL66" s="14">
        <v>174</v>
      </c>
      <c r="AM66" s="14" t="s">
        <v>220</v>
      </c>
      <c r="AN66" s="14" t="s">
        <v>221</v>
      </c>
      <c r="AO66" s="14">
        <v>8</v>
      </c>
      <c r="AP66" s="14">
        <v>5</v>
      </c>
      <c r="AQ66" s="15">
        <v>44133</v>
      </c>
      <c r="AR66" s="14" t="s">
        <v>100</v>
      </c>
      <c r="AS66" s="14" t="s">
        <v>4</v>
      </c>
      <c r="AT66" s="14" t="s">
        <v>4</v>
      </c>
      <c r="AU66" s="14" t="s">
        <v>4</v>
      </c>
      <c r="AV66" s="14" t="s">
        <v>4</v>
      </c>
      <c r="AW66" s="14" t="s">
        <v>668</v>
      </c>
      <c r="AX66" s="14" t="s">
        <v>669</v>
      </c>
      <c r="AY66" s="14" t="s">
        <v>4</v>
      </c>
      <c r="AZ66" s="14" t="s">
        <v>488</v>
      </c>
      <c r="BA66" s="14" t="s">
        <v>489</v>
      </c>
      <c r="BB66" s="14" t="s">
        <v>489</v>
      </c>
      <c r="BC66" s="14" t="s">
        <v>298</v>
      </c>
      <c r="BD66" s="14" t="s">
        <v>287</v>
      </c>
      <c r="BE66" s="16" t="s">
        <v>812</v>
      </c>
    </row>
    <row r="67" spans="1:57" x14ac:dyDescent="0.3">
      <c r="A67" s="18" t="s">
        <v>40</v>
      </c>
      <c r="B67" s="19" t="s">
        <v>291</v>
      </c>
      <c r="C67" s="19" t="s">
        <v>292</v>
      </c>
      <c r="D67" s="19" t="s">
        <v>293</v>
      </c>
      <c r="E67" s="19" t="s">
        <v>294</v>
      </c>
      <c r="F67" s="19" t="s">
        <v>665</v>
      </c>
      <c r="G67" s="19" t="s">
        <v>666</v>
      </c>
      <c r="H67" s="19" t="s">
        <v>266</v>
      </c>
      <c r="I67" s="19" t="s">
        <v>37</v>
      </c>
      <c r="J67" s="19" t="s">
        <v>38</v>
      </c>
      <c r="K67" s="19" t="s">
        <v>39</v>
      </c>
      <c r="L67" s="22">
        <v>44165</v>
      </c>
      <c r="M67" s="19" t="s">
        <v>82</v>
      </c>
      <c r="N67" s="19" t="s">
        <v>58</v>
      </c>
      <c r="O67" s="19" t="s">
        <v>4</v>
      </c>
      <c r="P67" s="19" t="s">
        <v>4</v>
      </c>
      <c r="Q67" s="19" t="s">
        <v>204</v>
      </c>
      <c r="R67" s="22">
        <v>33788</v>
      </c>
      <c r="S67" s="19" t="s">
        <v>206</v>
      </c>
      <c r="T67" s="19" t="s">
        <v>486</v>
      </c>
      <c r="U67" s="19" t="s">
        <v>487</v>
      </c>
      <c r="V67" s="19" t="s">
        <v>295</v>
      </c>
      <c r="W67" s="19" t="s">
        <v>4</v>
      </c>
      <c r="X67" s="19" t="s">
        <v>296</v>
      </c>
      <c r="Y67" s="19" t="s">
        <v>297</v>
      </c>
      <c r="Z67" s="19" t="s">
        <v>288</v>
      </c>
      <c r="AA67" s="19" t="s">
        <v>4</v>
      </c>
      <c r="AB67" s="19" t="s">
        <v>667</v>
      </c>
      <c r="AC67" s="19" t="s">
        <v>4</v>
      </c>
      <c r="AD67" s="19" t="s">
        <v>307</v>
      </c>
      <c r="AE67" s="19" t="s">
        <v>260</v>
      </c>
      <c r="AF67" s="19" t="s">
        <v>40</v>
      </c>
      <c r="AG67" s="19">
        <v>300000</v>
      </c>
      <c r="AH67" s="19" t="s">
        <v>45</v>
      </c>
      <c r="AI67" s="19">
        <v>100</v>
      </c>
      <c r="AJ67" s="19" t="s">
        <v>102</v>
      </c>
      <c r="AK67" s="19">
        <v>25000</v>
      </c>
      <c r="AL67" s="19">
        <v>174</v>
      </c>
      <c r="AM67" s="19" t="s">
        <v>220</v>
      </c>
      <c r="AN67" s="19" t="s">
        <v>221</v>
      </c>
      <c r="AO67" s="19">
        <v>8</v>
      </c>
      <c r="AP67" s="19">
        <v>5</v>
      </c>
      <c r="AQ67" s="23">
        <v>44133</v>
      </c>
      <c r="AR67" s="19" t="s">
        <v>100</v>
      </c>
      <c r="AS67" s="19" t="s">
        <v>4</v>
      </c>
      <c r="AT67" s="19" t="s">
        <v>4</v>
      </c>
      <c r="AU67" s="19" t="s">
        <v>4</v>
      </c>
      <c r="AV67" s="19" t="s">
        <v>4</v>
      </c>
      <c r="AW67" s="19" t="s">
        <v>668</v>
      </c>
      <c r="AX67" s="19" t="s">
        <v>669</v>
      </c>
      <c r="AY67" s="19" t="s">
        <v>4</v>
      </c>
      <c r="AZ67" s="19" t="s">
        <v>488</v>
      </c>
      <c r="BA67" s="19" t="s">
        <v>489</v>
      </c>
      <c r="BB67" s="19" t="s">
        <v>489</v>
      </c>
      <c r="BC67" s="19" t="s">
        <v>298</v>
      </c>
      <c r="BD67" s="19" t="s">
        <v>287</v>
      </c>
      <c r="BE67" s="20" t="s">
        <v>812</v>
      </c>
    </row>
    <row r="68" spans="1:57" x14ac:dyDescent="0.3">
      <c r="A68" s="13" t="s">
        <v>40</v>
      </c>
      <c r="B68" s="14" t="s">
        <v>291</v>
      </c>
      <c r="C68" s="14" t="s">
        <v>292</v>
      </c>
      <c r="D68" s="14" t="s">
        <v>293</v>
      </c>
      <c r="E68" s="14" t="s">
        <v>294</v>
      </c>
      <c r="F68" s="14" t="s">
        <v>670</v>
      </c>
      <c r="G68" s="14" t="s">
        <v>671</v>
      </c>
      <c r="H68" s="14" t="s">
        <v>266</v>
      </c>
      <c r="I68" s="14" t="s">
        <v>37</v>
      </c>
      <c r="J68" s="14" t="s">
        <v>38</v>
      </c>
      <c r="K68" s="14" t="s">
        <v>39</v>
      </c>
      <c r="L68" s="21">
        <v>44144</v>
      </c>
      <c r="M68" s="14" t="s">
        <v>56</v>
      </c>
      <c r="N68" s="14" t="s">
        <v>672</v>
      </c>
      <c r="O68" s="14" t="s">
        <v>4</v>
      </c>
      <c r="P68" s="14" t="s">
        <v>4</v>
      </c>
      <c r="Q68" s="14" t="s">
        <v>204</v>
      </c>
      <c r="R68" s="21">
        <v>36141</v>
      </c>
      <c r="S68" s="14" t="s">
        <v>206</v>
      </c>
      <c r="T68" s="14" t="s">
        <v>673</v>
      </c>
      <c r="U68" s="14" t="s">
        <v>674</v>
      </c>
      <c r="V68" s="14" t="s">
        <v>295</v>
      </c>
      <c r="W68" s="14" t="s">
        <v>4</v>
      </c>
      <c r="X68" s="14" t="s">
        <v>296</v>
      </c>
      <c r="Y68" s="14" t="s">
        <v>297</v>
      </c>
      <c r="Z68" s="14" t="s">
        <v>248</v>
      </c>
      <c r="AA68" s="14" t="s">
        <v>4</v>
      </c>
      <c r="AB68" s="14" t="s">
        <v>675</v>
      </c>
      <c r="AC68" s="14" t="s">
        <v>4</v>
      </c>
      <c r="AD68" s="14" t="s">
        <v>439</v>
      </c>
      <c r="AE68" s="14" t="s">
        <v>309</v>
      </c>
      <c r="AF68" s="14" t="s">
        <v>40</v>
      </c>
      <c r="AG68" s="14">
        <v>120000</v>
      </c>
      <c r="AH68" s="14" t="s">
        <v>45</v>
      </c>
      <c r="AI68" s="14">
        <v>100</v>
      </c>
      <c r="AJ68" s="14" t="s">
        <v>102</v>
      </c>
      <c r="AK68" s="14">
        <v>10000</v>
      </c>
      <c r="AL68" s="14">
        <v>174</v>
      </c>
      <c r="AM68" s="14" t="s">
        <v>220</v>
      </c>
      <c r="AN68" s="14" t="s">
        <v>221</v>
      </c>
      <c r="AO68" s="14">
        <v>8</v>
      </c>
      <c r="AP68" s="14">
        <v>5</v>
      </c>
      <c r="AQ68" s="15">
        <v>44133</v>
      </c>
      <c r="AR68" s="14" t="s">
        <v>99</v>
      </c>
      <c r="AS68" s="14" t="s">
        <v>4</v>
      </c>
      <c r="AT68" s="14" t="s">
        <v>676</v>
      </c>
      <c r="AU68" s="14" t="s">
        <v>4</v>
      </c>
      <c r="AV68" s="14" t="s">
        <v>4</v>
      </c>
      <c r="AW68" s="14" t="s">
        <v>677</v>
      </c>
      <c r="AX68" s="14" t="s">
        <v>395</v>
      </c>
      <c r="AY68" s="14" t="s">
        <v>4</v>
      </c>
      <c r="AZ68" s="14" t="s">
        <v>678</v>
      </c>
      <c r="BA68" s="14" t="s">
        <v>679</v>
      </c>
      <c r="BB68" s="14" t="s">
        <v>679</v>
      </c>
      <c r="BC68" s="14" t="s">
        <v>310</v>
      </c>
      <c r="BD68" s="14" t="s">
        <v>287</v>
      </c>
      <c r="BE68" s="16" t="s">
        <v>812</v>
      </c>
    </row>
    <row r="69" spans="1:57" x14ac:dyDescent="0.3">
      <c r="A69" s="18" t="s">
        <v>40</v>
      </c>
      <c r="B69" s="19" t="s">
        <v>291</v>
      </c>
      <c r="C69" s="19" t="s">
        <v>292</v>
      </c>
      <c r="D69" s="19" t="s">
        <v>293</v>
      </c>
      <c r="E69" s="19" t="s">
        <v>294</v>
      </c>
      <c r="F69" s="19" t="s">
        <v>670</v>
      </c>
      <c r="G69" s="19" t="s">
        <v>671</v>
      </c>
      <c r="H69" s="19" t="s">
        <v>266</v>
      </c>
      <c r="I69" s="19" t="s">
        <v>37</v>
      </c>
      <c r="J69" s="19" t="s">
        <v>38</v>
      </c>
      <c r="K69" s="19" t="s">
        <v>39</v>
      </c>
      <c r="L69" s="22">
        <v>44144</v>
      </c>
      <c r="M69" s="19" t="s">
        <v>56</v>
      </c>
      <c r="N69" s="19" t="s">
        <v>672</v>
      </c>
      <c r="O69" s="19" t="s">
        <v>4</v>
      </c>
      <c r="P69" s="19" t="s">
        <v>4</v>
      </c>
      <c r="Q69" s="19" t="s">
        <v>204</v>
      </c>
      <c r="R69" s="22">
        <v>36141</v>
      </c>
      <c r="S69" s="19" t="s">
        <v>206</v>
      </c>
      <c r="T69" s="19" t="s">
        <v>673</v>
      </c>
      <c r="U69" s="19" t="s">
        <v>674</v>
      </c>
      <c r="V69" s="19" t="s">
        <v>295</v>
      </c>
      <c r="W69" s="19" t="s">
        <v>4</v>
      </c>
      <c r="X69" s="19" t="s">
        <v>296</v>
      </c>
      <c r="Y69" s="19" t="s">
        <v>297</v>
      </c>
      <c r="Z69" s="19" t="s">
        <v>288</v>
      </c>
      <c r="AA69" s="19" t="s">
        <v>4</v>
      </c>
      <c r="AB69" s="19" t="s">
        <v>675</v>
      </c>
      <c r="AC69" s="19" t="s">
        <v>4</v>
      </c>
      <c r="AD69" s="19" t="s">
        <v>439</v>
      </c>
      <c r="AE69" s="19" t="s">
        <v>309</v>
      </c>
      <c r="AF69" s="19" t="s">
        <v>40</v>
      </c>
      <c r="AG69" s="19">
        <v>120000</v>
      </c>
      <c r="AH69" s="19" t="s">
        <v>45</v>
      </c>
      <c r="AI69" s="19">
        <v>100</v>
      </c>
      <c r="AJ69" s="19" t="s">
        <v>102</v>
      </c>
      <c r="AK69" s="19">
        <v>10000</v>
      </c>
      <c r="AL69" s="19">
        <v>174</v>
      </c>
      <c r="AM69" s="19" t="s">
        <v>220</v>
      </c>
      <c r="AN69" s="19" t="s">
        <v>221</v>
      </c>
      <c r="AO69" s="19">
        <v>8</v>
      </c>
      <c r="AP69" s="19">
        <v>5</v>
      </c>
      <c r="AQ69" s="23">
        <v>44133</v>
      </c>
      <c r="AR69" s="19" t="s">
        <v>99</v>
      </c>
      <c r="AS69" s="19" t="s">
        <v>4</v>
      </c>
      <c r="AT69" s="19" t="s">
        <v>676</v>
      </c>
      <c r="AU69" s="19" t="s">
        <v>4</v>
      </c>
      <c r="AV69" s="19" t="s">
        <v>4</v>
      </c>
      <c r="AW69" s="19" t="s">
        <v>677</v>
      </c>
      <c r="AX69" s="19" t="s">
        <v>395</v>
      </c>
      <c r="AY69" s="19" t="s">
        <v>4</v>
      </c>
      <c r="AZ69" s="19" t="s">
        <v>678</v>
      </c>
      <c r="BA69" s="19" t="s">
        <v>679</v>
      </c>
      <c r="BB69" s="19" t="s">
        <v>679</v>
      </c>
      <c r="BC69" s="19" t="s">
        <v>310</v>
      </c>
      <c r="BD69" s="19" t="s">
        <v>287</v>
      </c>
      <c r="BE69" s="20" t="s">
        <v>812</v>
      </c>
    </row>
    <row r="70" spans="1:57" x14ac:dyDescent="0.3">
      <c r="A70" s="13" t="s">
        <v>40</v>
      </c>
      <c r="B70" s="14" t="s">
        <v>291</v>
      </c>
      <c r="C70" s="14" t="s">
        <v>292</v>
      </c>
      <c r="D70" s="14" t="s">
        <v>372</v>
      </c>
      <c r="E70" s="14" t="s">
        <v>373</v>
      </c>
      <c r="F70" s="14" t="s">
        <v>680</v>
      </c>
      <c r="G70" s="14" t="s">
        <v>681</v>
      </c>
      <c r="H70" s="14" t="s">
        <v>266</v>
      </c>
      <c r="I70" s="14" t="s">
        <v>78</v>
      </c>
      <c r="J70" s="14" t="s">
        <v>79</v>
      </c>
      <c r="K70" s="14" t="s">
        <v>107</v>
      </c>
      <c r="L70" s="21">
        <v>44138</v>
      </c>
      <c r="M70" s="14" t="s">
        <v>84</v>
      </c>
      <c r="N70" s="14" t="s">
        <v>682</v>
      </c>
      <c r="O70" s="14" t="s">
        <v>4</v>
      </c>
      <c r="P70" s="14" t="s">
        <v>4</v>
      </c>
      <c r="Q70" s="14" t="s">
        <v>207</v>
      </c>
      <c r="R70" s="21">
        <v>34350</v>
      </c>
      <c r="S70" s="14" t="s">
        <v>208</v>
      </c>
      <c r="T70" s="14" t="s">
        <v>391</v>
      </c>
      <c r="U70" s="14" t="s">
        <v>392</v>
      </c>
      <c r="V70" s="14" t="s">
        <v>289</v>
      </c>
      <c r="W70" s="14" t="s">
        <v>4</v>
      </c>
      <c r="X70" s="14" t="s">
        <v>296</v>
      </c>
      <c r="Y70" s="14" t="s">
        <v>297</v>
      </c>
      <c r="Z70" s="14" t="s">
        <v>248</v>
      </c>
      <c r="AA70" s="14" t="s">
        <v>4</v>
      </c>
      <c r="AB70" s="14" t="s">
        <v>683</v>
      </c>
      <c r="AC70" s="14" t="s">
        <v>4</v>
      </c>
      <c r="AD70" s="14" t="s">
        <v>684</v>
      </c>
      <c r="AE70" s="14" t="s">
        <v>260</v>
      </c>
      <c r="AF70" s="14" t="s">
        <v>40</v>
      </c>
      <c r="AG70" s="14">
        <v>0</v>
      </c>
      <c r="AH70" s="14" t="s">
        <v>45</v>
      </c>
      <c r="AI70" s="14">
        <v>100</v>
      </c>
      <c r="AJ70" s="14" t="s">
        <v>115</v>
      </c>
      <c r="AK70" s="14">
        <v>30</v>
      </c>
      <c r="AL70" s="14">
        <v>174</v>
      </c>
      <c r="AM70" s="14" t="s">
        <v>220</v>
      </c>
      <c r="AN70" s="14" t="s">
        <v>221</v>
      </c>
      <c r="AO70" s="14">
        <v>8</v>
      </c>
      <c r="AP70" s="14">
        <v>5</v>
      </c>
      <c r="AQ70" s="15">
        <v>44134</v>
      </c>
      <c r="AR70" s="14" t="s">
        <v>90</v>
      </c>
      <c r="AS70" s="14" t="s">
        <v>4</v>
      </c>
      <c r="AT70" s="14" t="s">
        <v>685</v>
      </c>
      <c r="AU70" s="14" t="s">
        <v>4</v>
      </c>
      <c r="AV70" s="14" t="s">
        <v>4</v>
      </c>
      <c r="AW70" s="14" t="s">
        <v>686</v>
      </c>
      <c r="AX70" s="14" t="s">
        <v>374</v>
      </c>
      <c r="AY70" s="14" t="s">
        <v>4</v>
      </c>
      <c r="AZ70" s="14" t="s">
        <v>393</v>
      </c>
      <c r="BA70" s="14" t="s">
        <v>394</v>
      </c>
      <c r="BB70" s="14" t="s">
        <v>394</v>
      </c>
      <c r="BC70" s="14" t="s">
        <v>298</v>
      </c>
      <c r="BD70" s="14" t="s">
        <v>287</v>
      </c>
      <c r="BE70" s="16" t="s">
        <v>812</v>
      </c>
    </row>
    <row r="71" spans="1:57" x14ac:dyDescent="0.3">
      <c r="A71" s="18" t="s">
        <v>40</v>
      </c>
      <c r="B71" s="19" t="s">
        <v>291</v>
      </c>
      <c r="C71" s="19" t="s">
        <v>292</v>
      </c>
      <c r="D71" s="19" t="s">
        <v>372</v>
      </c>
      <c r="E71" s="19" t="s">
        <v>373</v>
      </c>
      <c r="F71" s="19" t="s">
        <v>680</v>
      </c>
      <c r="G71" s="19" t="s">
        <v>681</v>
      </c>
      <c r="H71" s="19" t="s">
        <v>266</v>
      </c>
      <c r="I71" s="19" t="s">
        <v>78</v>
      </c>
      <c r="J71" s="19" t="s">
        <v>79</v>
      </c>
      <c r="K71" s="19" t="s">
        <v>107</v>
      </c>
      <c r="L71" s="22">
        <v>44138</v>
      </c>
      <c r="M71" s="19" t="s">
        <v>84</v>
      </c>
      <c r="N71" s="19" t="s">
        <v>682</v>
      </c>
      <c r="O71" s="19" t="s">
        <v>4</v>
      </c>
      <c r="P71" s="19" t="s">
        <v>4</v>
      </c>
      <c r="Q71" s="19" t="s">
        <v>207</v>
      </c>
      <c r="R71" s="22">
        <v>34350</v>
      </c>
      <c r="S71" s="19" t="s">
        <v>208</v>
      </c>
      <c r="T71" s="19" t="s">
        <v>391</v>
      </c>
      <c r="U71" s="19" t="s">
        <v>392</v>
      </c>
      <c r="V71" s="19" t="s">
        <v>289</v>
      </c>
      <c r="W71" s="19" t="s">
        <v>4</v>
      </c>
      <c r="X71" s="19" t="s">
        <v>296</v>
      </c>
      <c r="Y71" s="19" t="s">
        <v>297</v>
      </c>
      <c r="Z71" s="19" t="s">
        <v>288</v>
      </c>
      <c r="AA71" s="19" t="s">
        <v>4</v>
      </c>
      <c r="AB71" s="19" t="s">
        <v>683</v>
      </c>
      <c r="AC71" s="19" t="s">
        <v>4</v>
      </c>
      <c r="AD71" s="19" t="s">
        <v>684</v>
      </c>
      <c r="AE71" s="19" t="s">
        <v>260</v>
      </c>
      <c r="AF71" s="19" t="s">
        <v>40</v>
      </c>
      <c r="AG71" s="19">
        <v>0</v>
      </c>
      <c r="AH71" s="19" t="s">
        <v>45</v>
      </c>
      <c r="AI71" s="19">
        <v>100</v>
      </c>
      <c r="AJ71" s="19" t="s">
        <v>115</v>
      </c>
      <c r="AK71" s="19">
        <v>30</v>
      </c>
      <c r="AL71" s="19">
        <v>174</v>
      </c>
      <c r="AM71" s="19" t="s">
        <v>220</v>
      </c>
      <c r="AN71" s="19" t="s">
        <v>221</v>
      </c>
      <c r="AO71" s="19">
        <v>8</v>
      </c>
      <c r="AP71" s="19">
        <v>5</v>
      </c>
      <c r="AQ71" s="23">
        <v>44134</v>
      </c>
      <c r="AR71" s="19" t="s">
        <v>90</v>
      </c>
      <c r="AS71" s="19" t="s">
        <v>4</v>
      </c>
      <c r="AT71" s="19" t="s">
        <v>685</v>
      </c>
      <c r="AU71" s="19" t="s">
        <v>4</v>
      </c>
      <c r="AV71" s="19" t="s">
        <v>4</v>
      </c>
      <c r="AW71" s="19" t="s">
        <v>686</v>
      </c>
      <c r="AX71" s="19" t="s">
        <v>374</v>
      </c>
      <c r="AY71" s="19" t="s">
        <v>4</v>
      </c>
      <c r="AZ71" s="19" t="s">
        <v>393</v>
      </c>
      <c r="BA71" s="19" t="s">
        <v>394</v>
      </c>
      <c r="BB71" s="19" t="s">
        <v>394</v>
      </c>
      <c r="BC71" s="19" t="s">
        <v>298</v>
      </c>
      <c r="BD71" s="19" t="s">
        <v>287</v>
      </c>
      <c r="BE71" s="20" t="s">
        <v>812</v>
      </c>
    </row>
    <row r="72" spans="1:57" x14ac:dyDescent="0.3">
      <c r="A72" s="13" t="s">
        <v>40</v>
      </c>
      <c r="B72" s="14" t="s">
        <v>291</v>
      </c>
      <c r="C72" s="14" t="s">
        <v>292</v>
      </c>
      <c r="D72" s="14" t="s">
        <v>293</v>
      </c>
      <c r="E72" s="14" t="s">
        <v>294</v>
      </c>
      <c r="F72" s="14" t="s">
        <v>687</v>
      </c>
      <c r="G72" s="14" t="s">
        <v>688</v>
      </c>
      <c r="H72" s="14" t="s">
        <v>376</v>
      </c>
      <c r="I72" s="14" t="s">
        <v>37</v>
      </c>
      <c r="J72" s="14" t="s">
        <v>38</v>
      </c>
      <c r="K72" s="14" t="s">
        <v>39</v>
      </c>
      <c r="L72" s="21">
        <v>44151</v>
      </c>
      <c r="M72" s="14" t="s">
        <v>479</v>
      </c>
      <c r="N72" s="14" t="s">
        <v>66</v>
      </c>
      <c r="O72" s="14" t="s">
        <v>4</v>
      </c>
      <c r="P72" s="14" t="s">
        <v>4</v>
      </c>
      <c r="Q72" s="14" t="s">
        <v>204</v>
      </c>
      <c r="R72" s="21">
        <v>30863</v>
      </c>
      <c r="S72" s="14" t="s">
        <v>206</v>
      </c>
      <c r="T72" s="14" t="s">
        <v>689</v>
      </c>
      <c r="U72" s="14" t="s">
        <v>690</v>
      </c>
      <c r="V72" s="14" t="s">
        <v>295</v>
      </c>
      <c r="W72" s="14" t="s">
        <v>4</v>
      </c>
      <c r="X72" s="14" t="s">
        <v>296</v>
      </c>
      <c r="Y72" s="14" t="s">
        <v>297</v>
      </c>
      <c r="Z72" s="14" t="s">
        <v>248</v>
      </c>
      <c r="AA72" s="14" t="s">
        <v>4</v>
      </c>
      <c r="AB72" s="14" t="s">
        <v>691</v>
      </c>
      <c r="AC72" s="14" t="s">
        <v>4</v>
      </c>
      <c r="AD72" s="14" t="s">
        <v>692</v>
      </c>
      <c r="AE72" s="14" t="s">
        <v>480</v>
      </c>
      <c r="AF72" s="14" t="s">
        <v>40</v>
      </c>
      <c r="AG72" s="14">
        <v>240000</v>
      </c>
      <c r="AH72" s="14" t="s">
        <v>45</v>
      </c>
      <c r="AI72" s="14">
        <v>100</v>
      </c>
      <c r="AJ72" s="14" t="s">
        <v>102</v>
      </c>
      <c r="AK72" s="14">
        <v>20000</v>
      </c>
      <c r="AL72" s="14">
        <v>174</v>
      </c>
      <c r="AM72" s="14" t="s">
        <v>220</v>
      </c>
      <c r="AN72" s="14" t="s">
        <v>221</v>
      </c>
      <c r="AO72" s="14">
        <v>8</v>
      </c>
      <c r="AP72" s="14">
        <v>5</v>
      </c>
      <c r="AQ72" s="15">
        <v>44134</v>
      </c>
      <c r="AR72" s="14" t="s">
        <v>90</v>
      </c>
      <c r="AS72" s="14" t="s">
        <v>4</v>
      </c>
      <c r="AT72" s="14" t="s">
        <v>4</v>
      </c>
      <c r="AU72" s="14" t="s">
        <v>4</v>
      </c>
      <c r="AV72" s="14" t="s">
        <v>4</v>
      </c>
      <c r="AW72" s="14" t="s">
        <v>693</v>
      </c>
      <c r="AX72" s="14" t="s">
        <v>423</v>
      </c>
      <c r="AY72" s="14" t="s">
        <v>4</v>
      </c>
      <c r="AZ72" s="14" t="s">
        <v>694</v>
      </c>
      <c r="BA72" s="14" t="s">
        <v>695</v>
      </c>
      <c r="BB72" s="14" t="s">
        <v>695</v>
      </c>
      <c r="BC72" s="14" t="s">
        <v>696</v>
      </c>
      <c r="BD72" s="14" t="s">
        <v>290</v>
      </c>
      <c r="BE72" s="16" t="s">
        <v>812</v>
      </c>
    </row>
    <row r="73" spans="1:57" x14ac:dyDescent="0.3">
      <c r="A73" s="18" t="s">
        <v>40</v>
      </c>
      <c r="B73" s="19" t="s">
        <v>291</v>
      </c>
      <c r="C73" s="19" t="s">
        <v>292</v>
      </c>
      <c r="D73" s="19" t="s">
        <v>293</v>
      </c>
      <c r="E73" s="19" t="s">
        <v>294</v>
      </c>
      <c r="F73" s="19" t="s">
        <v>687</v>
      </c>
      <c r="G73" s="19" t="s">
        <v>688</v>
      </c>
      <c r="H73" s="19" t="s">
        <v>376</v>
      </c>
      <c r="I73" s="19" t="s">
        <v>37</v>
      </c>
      <c r="J73" s="19" t="s">
        <v>38</v>
      </c>
      <c r="K73" s="19" t="s">
        <v>39</v>
      </c>
      <c r="L73" s="22">
        <v>44151</v>
      </c>
      <c r="M73" s="19" t="s">
        <v>479</v>
      </c>
      <c r="N73" s="19" t="s">
        <v>66</v>
      </c>
      <c r="O73" s="19" t="s">
        <v>4</v>
      </c>
      <c r="P73" s="19" t="s">
        <v>4</v>
      </c>
      <c r="Q73" s="19" t="s">
        <v>204</v>
      </c>
      <c r="R73" s="22">
        <v>30863</v>
      </c>
      <c r="S73" s="19" t="s">
        <v>206</v>
      </c>
      <c r="T73" s="19" t="s">
        <v>689</v>
      </c>
      <c r="U73" s="19" t="s">
        <v>690</v>
      </c>
      <c r="V73" s="19" t="s">
        <v>295</v>
      </c>
      <c r="W73" s="19" t="s">
        <v>4</v>
      </c>
      <c r="X73" s="19" t="s">
        <v>296</v>
      </c>
      <c r="Y73" s="19" t="s">
        <v>297</v>
      </c>
      <c r="Z73" s="19" t="s">
        <v>288</v>
      </c>
      <c r="AA73" s="19" t="s">
        <v>4</v>
      </c>
      <c r="AB73" s="19" t="s">
        <v>691</v>
      </c>
      <c r="AC73" s="19" t="s">
        <v>4</v>
      </c>
      <c r="AD73" s="19" t="s">
        <v>692</v>
      </c>
      <c r="AE73" s="19" t="s">
        <v>480</v>
      </c>
      <c r="AF73" s="19" t="s">
        <v>40</v>
      </c>
      <c r="AG73" s="19">
        <v>240000</v>
      </c>
      <c r="AH73" s="19" t="s">
        <v>45</v>
      </c>
      <c r="AI73" s="19">
        <v>100</v>
      </c>
      <c r="AJ73" s="19" t="s">
        <v>102</v>
      </c>
      <c r="AK73" s="19">
        <v>20000</v>
      </c>
      <c r="AL73" s="19">
        <v>174</v>
      </c>
      <c r="AM73" s="19" t="s">
        <v>220</v>
      </c>
      <c r="AN73" s="19" t="s">
        <v>221</v>
      </c>
      <c r="AO73" s="19">
        <v>8</v>
      </c>
      <c r="AP73" s="19">
        <v>5</v>
      </c>
      <c r="AQ73" s="23">
        <v>44134</v>
      </c>
      <c r="AR73" s="19" t="s">
        <v>90</v>
      </c>
      <c r="AS73" s="19" t="s">
        <v>4</v>
      </c>
      <c r="AT73" s="19" t="s">
        <v>4</v>
      </c>
      <c r="AU73" s="19" t="s">
        <v>4</v>
      </c>
      <c r="AV73" s="19" t="s">
        <v>4</v>
      </c>
      <c r="AW73" s="19" t="s">
        <v>693</v>
      </c>
      <c r="AX73" s="19" t="s">
        <v>423</v>
      </c>
      <c r="AY73" s="19" t="s">
        <v>4</v>
      </c>
      <c r="AZ73" s="19" t="s">
        <v>694</v>
      </c>
      <c r="BA73" s="19" t="s">
        <v>695</v>
      </c>
      <c r="BB73" s="19" t="s">
        <v>695</v>
      </c>
      <c r="BC73" s="19" t="s">
        <v>696</v>
      </c>
      <c r="BD73" s="19" t="s">
        <v>290</v>
      </c>
      <c r="BE73" s="20" t="s">
        <v>812</v>
      </c>
    </row>
    <row r="74" spans="1:57" x14ac:dyDescent="0.3">
      <c r="A74" s="13" t="s">
        <v>40</v>
      </c>
      <c r="B74" s="14" t="s">
        <v>291</v>
      </c>
      <c r="C74" s="14" t="s">
        <v>292</v>
      </c>
      <c r="D74" s="14" t="s">
        <v>293</v>
      </c>
      <c r="E74" s="14" t="s">
        <v>294</v>
      </c>
      <c r="F74" s="14" t="s">
        <v>697</v>
      </c>
      <c r="G74" s="14" t="s">
        <v>698</v>
      </c>
      <c r="H74" s="14" t="s">
        <v>376</v>
      </c>
      <c r="I74" s="14" t="s">
        <v>37</v>
      </c>
      <c r="J74" s="14" t="s">
        <v>38</v>
      </c>
      <c r="K74" s="14" t="s">
        <v>39</v>
      </c>
      <c r="L74" s="21">
        <v>44141</v>
      </c>
      <c r="M74" s="14" t="s">
        <v>54</v>
      </c>
      <c r="N74" s="14" t="s">
        <v>699</v>
      </c>
      <c r="O74" s="14" t="s">
        <v>4</v>
      </c>
      <c r="P74" s="14" t="s">
        <v>4</v>
      </c>
      <c r="Q74" s="14" t="s">
        <v>207</v>
      </c>
      <c r="R74" s="21">
        <v>29748</v>
      </c>
      <c r="S74" s="14" t="s">
        <v>4</v>
      </c>
      <c r="T74" s="14" t="s">
        <v>446</v>
      </c>
      <c r="U74" s="14" t="s">
        <v>447</v>
      </c>
      <c r="V74" s="14" t="s">
        <v>295</v>
      </c>
      <c r="W74" s="14" t="s">
        <v>4</v>
      </c>
      <c r="X74" s="14" t="s">
        <v>296</v>
      </c>
      <c r="Y74" s="14" t="s">
        <v>297</v>
      </c>
      <c r="Z74" s="14" t="s">
        <v>248</v>
      </c>
      <c r="AA74" s="14" t="s">
        <v>4</v>
      </c>
      <c r="AB74" s="14" t="s">
        <v>700</v>
      </c>
      <c r="AC74" s="14" t="s">
        <v>4</v>
      </c>
      <c r="AD74" s="14" t="s">
        <v>4</v>
      </c>
      <c r="AE74" s="14" t="s">
        <v>309</v>
      </c>
      <c r="AF74" s="14" t="s">
        <v>40</v>
      </c>
      <c r="AG74" s="14">
        <v>308400</v>
      </c>
      <c r="AH74" s="14" t="s">
        <v>45</v>
      </c>
      <c r="AI74" s="14">
        <v>100</v>
      </c>
      <c r="AJ74" s="14" t="s">
        <v>102</v>
      </c>
      <c r="AK74" s="14">
        <v>25700</v>
      </c>
      <c r="AL74" s="14">
        <v>174</v>
      </c>
      <c r="AM74" s="14" t="s">
        <v>220</v>
      </c>
      <c r="AN74" s="14" t="s">
        <v>221</v>
      </c>
      <c r="AO74" s="14">
        <v>8</v>
      </c>
      <c r="AP74" s="14">
        <v>5</v>
      </c>
      <c r="AQ74" s="15">
        <v>44138</v>
      </c>
      <c r="AR74" s="14" t="s">
        <v>88</v>
      </c>
      <c r="AS74" s="14" t="s">
        <v>4</v>
      </c>
      <c r="AT74" s="14" t="s">
        <v>701</v>
      </c>
      <c r="AU74" s="14" t="s">
        <v>4</v>
      </c>
      <c r="AV74" s="14" t="s">
        <v>4</v>
      </c>
      <c r="AW74" s="14" t="s">
        <v>702</v>
      </c>
      <c r="AX74" s="14" t="s">
        <v>380</v>
      </c>
      <c r="AY74" s="14" t="s">
        <v>4</v>
      </c>
      <c r="AZ74" s="14" t="s">
        <v>448</v>
      </c>
      <c r="BA74" s="14" t="s">
        <v>449</v>
      </c>
      <c r="BB74" s="14" t="s">
        <v>449</v>
      </c>
      <c r="BC74" s="14" t="s">
        <v>310</v>
      </c>
      <c r="BD74" s="14" t="s">
        <v>290</v>
      </c>
      <c r="BE74" s="16" t="s">
        <v>812</v>
      </c>
    </row>
    <row r="75" spans="1:57" x14ac:dyDescent="0.3">
      <c r="A75" s="18" t="s">
        <v>40</v>
      </c>
      <c r="B75" s="19" t="s">
        <v>291</v>
      </c>
      <c r="C75" s="19" t="s">
        <v>292</v>
      </c>
      <c r="D75" s="19" t="s">
        <v>293</v>
      </c>
      <c r="E75" s="19" t="s">
        <v>294</v>
      </c>
      <c r="F75" s="19" t="s">
        <v>703</v>
      </c>
      <c r="G75" s="19" t="s">
        <v>704</v>
      </c>
      <c r="H75" s="19" t="s">
        <v>376</v>
      </c>
      <c r="I75" s="19" t="s">
        <v>37</v>
      </c>
      <c r="J75" s="19" t="s">
        <v>38</v>
      </c>
      <c r="K75" s="19" t="s">
        <v>39</v>
      </c>
      <c r="L75" s="22">
        <v>44136</v>
      </c>
      <c r="M75" s="19" t="s">
        <v>50</v>
      </c>
      <c r="N75" s="19" t="s">
        <v>405</v>
      </c>
      <c r="O75" s="19" t="s">
        <v>4</v>
      </c>
      <c r="P75" s="19" t="s">
        <v>4</v>
      </c>
      <c r="Q75" s="19" t="s">
        <v>204</v>
      </c>
      <c r="R75" s="22">
        <v>30274</v>
      </c>
      <c r="S75" s="19" t="s">
        <v>206</v>
      </c>
      <c r="T75" s="19" t="s">
        <v>705</v>
      </c>
      <c r="U75" s="19" t="s">
        <v>706</v>
      </c>
      <c r="V75" s="19" t="s">
        <v>295</v>
      </c>
      <c r="W75" s="19" t="s">
        <v>4</v>
      </c>
      <c r="X75" s="19" t="s">
        <v>296</v>
      </c>
      <c r="Y75" s="19" t="s">
        <v>297</v>
      </c>
      <c r="Z75" s="19" t="s">
        <v>248</v>
      </c>
      <c r="AA75" s="19" t="s">
        <v>4</v>
      </c>
      <c r="AB75" s="19" t="s">
        <v>707</v>
      </c>
      <c r="AC75" s="19" t="s">
        <v>708</v>
      </c>
      <c r="AD75" s="19" t="s">
        <v>709</v>
      </c>
      <c r="AE75" s="19" t="s">
        <v>460</v>
      </c>
      <c r="AF75" s="19" t="s">
        <v>40</v>
      </c>
      <c r="AG75" s="19">
        <v>264000</v>
      </c>
      <c r="AH75" s="19" t="s">
        <v>45</v>
      </c>
      <c r="AI75" s="19">
        <v>100</v>
      </c>
      <c r="AJ75" s="19" t="s">
        <v>102</v>
      </c>
      <c r="AK75" s="19">
        <v>22000</v>
      </c>
      <c r="AL75" s="19">
        <v>174</v>
      </c>
      <c r="AM75" s="19" t="s">
        <v>220</v>
      </c>
      <c r="AN75" s="19" t="s">
        <v>221</v>
      </c>
      <c r="AO75" s="19">
        <v>8</v>
      </c>
      <c r="AP75" s="19">
        <v>5</v>
      </c>
      <c r="AQ75" s="23">
        <v>44138</v>
      </c>
      <c r="AR75" s="19" t="s">
        <v>88</v>
      </c>
      <c r="AS75" s="19" t="s">
        <v>4</v>
      </c>
      <c r="AT75" s="19" t="s">
        <v>710</v>
      </c>
      <c r="AU75" s="19" t="s">
        <v>4</v>
      </c>
      <c r="AV75" s="19" t="s">
        <v>4</v>
      </c>
      <c r="AW75" s="19" t="s">
        <v>711</v>
      </c>
      <c r="AX75" s="19" t="s">
        <v>712</v>
      </c>
      <c r="AY75" s="19" t="s">
        <v>4</v>
      </c>
      <c r="AZ75" s="19" t="s">
        <v>713</v>
      </c>
      <c r="BA75" s="19" t="s">
        <v>714</v>
      </c>
      <c r="BB75" s="19" t="s">
        <v>714</v>
      </c>
      <c r="BC75" s="19" t="s">
        <v>298</v>
      </c>
      <c r="BD75" s="19" t="s">
        <v>287</v>
      </c>
      <c r="BE75" s="20" t="s">
        <v>812</v>
      </c>
    </row>
    <row r="76" spans="1:57" x14ac:dyDescent="0.3">
      <c r="A76" s="13" t="s">
        <v>40</v>
      </c>
      <c r="B76" s="14" t="s">
        <v>291</v>
      </c>
      <c r="C76" s="14" t="s">
        <v>292</v>
      </c>
      <c r="D76" s="14" t="s">
        <v>293</v>
      </c>
      <c r="E76" s="14" t="s">
        <v>294</v>
      </c>
      <c r="F76" s="14" t="s">
        <v>703</v>
      </c>
      <c r="G76" s="14" t="s">
        <v>704</v>
      </c>
      <c r="H76" s="14" t="s">
        <v>376</v>
      </c>
      <c r="I76" s="14" t="s">
        <v>37</v>
      </c>
      <c r="J76" s="14" t="s">
        <v>38</v>
      </c>
      <c r="K76" s="14" t="s">
        <v>39</v>
      </c>
      <c r="L76" s="21">
        <v>44136</v>
      </c>
      <c r="M76" s="14" t="s">
        <v>50</v>
      </c>
      <c r="N76" s="14" t="s">
        <v>405</v>
      </c>
      <c r="O76" s="14" t="s">
        <v>4</v>
      </c>
      <c r="P76" s="14" t="s">
        <v>4</v>
      </c>
      <c r="Q76" s="14" t="s">
        <v>204</v>
      </c>
      <c r="R76" s="21">
        <v>30274</v>
      </c>
      <c r="S76" s="14" t="s">
        <v>206</v>
      </c>
      <c r="T76" s="14" t="s">
        <v>705</v>
      </c>
      <c r="U76" s="14" t="s">
        <v>706</v>
      </c>
      <c r="V76" s="14" t="s">
        <v>295</v>
      </c>
      <c r="W76" s="14" t="s">
        <v>4</v>
      </c>
      <c r="X76" s="14" t="s">
        <v>296</v>
      </c>
      <c r="Y76" s="14" t="s">
        <v>297</v>
      </c>
      <c r="Z76" s="14" t="s">
        <v>288</v>
      </c>
      <c r="AA76" s="14" t="s">
        <v>4</v>
      </c>
      <c r="AB76" s="14" t="s">
        <v>707</v>
      </c>
      <c r="AC76" s="14" t="s">
        <v>708</v>
      </c>
      <c r="AD76" s="14" t="s">
        <v>709</v>
      </c>
      <c r="AE76" s="14" t="s">
        <v>460</v>
      </c>
      <c r="AF76" s="14" t="s">
        <v>40</v>
      </c>
      <c r="AG76" s="14">
        <v>264000</v>
      </c>
      <c r="AH76" s="14" t="s">
        <v>45</v>
      </c>
      <c r="AI76" s="14">
        <v>100</v>
      </c>
      <c r="AJ76" s="14" t="s">
        <v>102</v>
      </c>
      <c r="AK76" s="14">
        <v>22000</v>
      </c>
      <c r="AL76" s="14">
        <v>174</v>
      </c>
      <c r="AM76" s="14" t="s">
        <v>220</v>
      </c>
      <c r="AN76" s="14" t="s">
        <v>221</v>
      </c>
      <c r="AO76" s="14">
        <v>8</v>
      </c>
      <c r="AP76" s="14">
        <v>5</v>
      </c>
      <c r="AQ76" s="15">
        <v>44138</v>
      </c>
      <c r="AR76" s="14" t="s">
        <v>88</v>
      </c>
      <c r="AS76" s="14" t="s">
        <v>4</v>
      </c>
      <c r="AT76" s="14" t="s">
        <v>710</v>
      </c>
      <c r="AU76" s="14" t="s">
        <v>4</v>
      </c>
      <c r="AV76" s="14" t="s">
        <v>4</v>
      </c>
      <c r="AW76" s="14" t="s">
        <v>711</v>
      </c>
      <c r="AX76" s="14" t="s">
        <v>712</v>
      </c>
      <c r="AY76" s="14" t="s">
        <v>4</v>
      </c>
      <c r="AZ76" s="14" t="s">
        <v>713</v>
      </c>
      <c r="BA76" s="14" t="s">
        <v>714</v>
      </c>
      <c r="BB76" s="14" t="s">
        <v>714</v>
      </c>
      <c r="BC76" s="14" t="s">
        <v>298</v>
      </c>
      <c r="BD76" s="14" t="s">
        <v>287</v>
      </c>
      <c r="BE76" s="16" t="s">
        <v>812</v>
      </c>
    </row>
    <row r="77" spans="1:57" x14ac:dyDescent="0.3">
      <c r="A77" s="18" t="s">
        <v>40</v>
      </c>
      <c r="B77" s="19" t="s">
        <v>291</v>
      </c>
      <c r="C77" s="19" t="s">
        <v>292</v>
      </c>
      <c r="D77" s="19" t="s">
        <v>372</v>
      </c>
      <c r="E77" s="19" t="s">
        <v>373</v>
      </c>
      <c r="F77" s="19" t="s">
        <v>715</v>
      </c>
      <c r="G77" s="19" t="s">
        <v>716</v>
      </c>
      <c r="H77" s="19" t="s">
        <v>266</v>
      </c>
      <c r="I77" s="19" t="s">
        <v>78</v>
      </c>
      <c r="J77" s="19" t="s">
        <v>79</v>
      </c>
      <c r="K77" s="19" t="s">
        <v>107</v>
      </c>
      <c r="L77" s="22">
        <v>44145</v>
      </c>
      <c r="M77" s="19" t="s">
        <v>112</v>
      </c>
      <c r="N77" s="19" t="s">
        <v>717</v>
      </c>
      <c r="O77" s="19" t="s">
        <v>4</v>
      </c>
      <c r="P77" s="19" t="s">
        <v>4</v>
      </c>
      <c r="Q77" s="19" t="s">
        <v>204</v>
      </c>
      <c r="R77" s="22">
        <v>36242</v>
      </c>
      <c r="S77" s="19" t="s">
        <v>208</v>
      </c>
      <c r="T77" s="19" t="s">
        <v>718</v>
      </c>
      <c r="U77" s="19" t="s">
        <v>719</v>
      </c>
      <c r="V77" s="19" t="s">
        <v>289</v>
      </c>
      <c r="W77" s="19" t="s">
        <v>4</v>
      </c>
      <c r="X77" s="19" t="s">
        <v>296</v>
      </c>
      <c r="Y77" s="19" t="s">
        <v>297</v>
      </c>
      <c r="Z77" s="19" t="s">
        <v>248</v>
      </c>
      <c r="AA77" s="19" t="s">
        <v>4</v>
      </c>
      <c r="AB77" s="19" t="s">
        <v>720</v>
      </c>
      <c r="AC77" s="19" t="s">
        <v>721</v>
      </c>
      <c r="AD77" s="19" t="s">
        <v>722</v>
      </c>
      <c r="AE77" s="19" t="s">
        <v>260</v>
      </c>
      <c r="AF77" s="19" t="s">
        <v>40</v>
      </c>
      <c r="AG77" s="19">
        <v>0</v>
      </c>
      <c r="AH77" s="19" t="s">
        <v>45</v>
      </c>
      <c r="AI77" s="19">
        <v>100</v>
      </c>
      <c r="AJ77" s="19" t="s">
        <v>115</v>
      </c>
      <c r="AK77" s="19">
        <v>25</v>
      </c>
      <c r="AL77" s="19">
        <v>174</v>
      </c>
      <c r="AM77" s="19" t="s">
        <v>220</v>
      </c>
      <c r="AN77" s="19" t="s">
        <v>221</v>
      </c>
      <c r="AO77" s="19">
        <v>8</v>
      </c>
      <c r="AP77" s="19">
        <v>5</v>
      </c>
      <c r="AQ77" s="23">
        <v>44138</v>
      </c>
      <c r="AR77" s="19" t="s">
        <v>99</v>
      </c>
      <c r="AS77" s="19" t="s">
        <v>4</v>
      </c>
      <c r="AT77" s="19" t="s">
        <v>723</v>
      </c>
      <c r="AU77" s="19" t="s">
        <v>4</v>
      </c>
      <c r="AV77" s="19" t="s">
        <v>4</v>
      </c>
      <c r="AW77" s="19" t="s">
        <v>724</v>
      </c>
      <c r="AX77" s="19" t="s">
        <v>374</v>
      </c>
      <c r="AY77" s="19" t="s">
        <v>4</v>
      </c>
      <c r="AZ77" s="19" t="s">
        <v>725</v>
      </c>
      <c r="BA77" s="19" t="s">
        <v>726</v>
      </c>
      <c r="BB77" s="19" t="s">
        <v>726</v>
      </c>
      <c r="BC77" s="19" t="s">
        <v>298</v>
      </c>
      <c r="BD77" s="19" t="s">
        <v>287</v>
      </c>
      <c r="BE77" s="20" t="s">
        <v>812</v>
      </c>
    </row>
    <row r="78" spans="1:57" x14ac:dyDescent="0.3">
      <c r="A78" s="13" t="s">
        <v>40</v>
      </c>
      <c r="B78" s="14" t="s">
        <v>291</v>
      </c>
      <c r="C78" s="14" t="s">
        <v>292</v>
      </c>
      <c r="D78" s="14" t="s">
        <v>372</v>
      </c>
      <c r="E78" s="14" t="s">
        <v>373</v>
      </c>
      <c r="F78" s="14" t="s">
        <v>715</v>
      </c>
      <c r="G78" s="14" t="s">
        <v>716</v>
      </c>
      <c r="H78" s="14" t="s">
        <v>266</v>
      </c>
      <c r="I78" s="14" t="s">
        <v>78</v>
      </c>
      <c r="J78" s="14" t="s">
        <v>79</v>
      </c>
      <c r="K78" s="14" t="s">
        <v>107</v>
      </c>
      <c r="L78" s="21">
        <v>44145</v>
      </c>
      <c r="M78" s="14" t="s">
        <v>112</v>
      </c>
      <c r="N78" s="14" t="s">
        <v>717</v>
      </c>
      <c r="O78" s="14" t="s">
        <v>4</v>
      </c>
      <c r="P78" s="14" t="s">
        <v>4</v>
      </c>
      <c r="Q78" s="14" t="s">
        <v>204</v>
      </c>
      <c r="R78" s="21">
        <v>36242</v>
      </c>
      <c r="S78" s="14" t="s">
        <v>208</v>
      </c>
      <c r="T78" s="14" t="s">
        <v>718</v>
      </c>
      <c r="U78" s="14" t="s">
        <v>719</v>
      </c>
      <c r="V78" s="14" t="s">
        <v>289</v>
      </c>
      <c r="W78" s="14" t="s">
        <v>4</v>
      </c>
      <c r="X78" s="14" t="s">
        <v>296</v>
      </c>
      <c r="Y78" s="14" t="s">
        <v>297</v>
      </c>
      <c r="Z78" s="14" t="s">
        <v>288</v>
      </c>
      <c r="AA78" s="14" t="s">
        <v>4</v>
      </c>
      <c r="AB78" s="14" t="s">
        <v>720</v>
      </c>
      <c r="AC78" s="14" t="s">
        <v>721</v>
      </c>
      <c r="AD78" s="14" t="s">
        <v>722</v>
      </c>
      <c r="AE78" s="14" t="s">
        <v>260</v>
      </c>
      <c r="AF78" s="14" t="s">
        <v>40</v>
      </c>
      <c r="AG78" s="14">
        <v>0</v>
      </c>
      <c r="AH78" s="14" t="s">
        <v>45</v>
      </c>
      <c r="AI78" s="14">
        <v>100</v>
      </c>
      <c r="AJ78" s="14" t="s">
        <v>115</v>
      </c>
      <c r="AK78" s="14">
        <v>25</v>
      </c>
      <c r="AL78" s="14">
        <v>174</v>
      </c>
      <c r="AM78" s="14" t="s">
        <v>220</v>
      </c>
      <c r="AN78" s="14" t="s">
        <v>221</v>
      </c>
      <c r="AO78" s="14">
        <v>8</v>
      </c>
      <c r="AP78" s="14">
        <v>5</v>
      </c>
      <c r="AQ78" s="15">
        <v>44138</v>
      </c>
      <c r="AR78" s="14" t="s">
        <v>99</v>
      </c>
      <c r="AS78" s="14" t="s">
        <v>4</v>
      </c>
      <c r="AT78" s="14" t="s">
        <v>723</v>
      </c>
      <c r="AU78" s="14" t="s">
        <v>4</v>
      </c>
      <c r="AV78" s="14" t="s">
        <v>4</v>
      </c>
      <c r="AW78" s="14" t="s">
        <v>724</v>
      </c>
      <c r="AX78" s="14" t="s">
        <v>374</v>
      </c>
      <c r="AY78" s="14" t="s">
        <v>4</v>
      </c>
      <c r="AZ78" s="14" t="s">
        <v>725</v>
      </c>
      <c r="BA78" s="14" t="s">
        <v>726</v>
      </c>
      <c r="BB78" s="14" t="s">
        <v>726</v>
      </c>
      <c r="BC78" s="14" t="s">
        <v>298</v>
      </c>
      <c r="BD78" s="14" t="s">
        <v>287</v>
      </c>
      <c r="BE78" s="16" t="s">
        <v>812</v>
      </c>
    </row>
    <row r="79" spans="1:57" x14ac:dyDescent="0.3">
      <c r="A79" s="18" t="s">
        <v>40</v>
      </c>
      <c r="B79" s="19" t="s">
        <v>291</v>
      </c>
      <c r="C79" s="19" t="s">
        <v>292</v>
      </c>
      <c r="D79" s="19" t="s">
        <v>372</v>
      </c>
      <c r="E79" s="19" t="s">
        <v>373</v>
      </c>
      <c r="F79" s="19" t="s">
        <v>727</v>
      </c>
      <c r="G79" s="19" t="s">
        <v>728</v>
      </c>
      <c r="H79" s="19" t="s">
        <v>266</v>
      </c>
      <c r="I79" s="19" t="s">
        <v>78</v>
      </c>
      <c r="J79" s="19" t="s">
        <v>79</v>
      </c>
      <c r="K79" s="19" t="s">
        <v>107</v>
      </c>
      <c r="L79" s="22">
        <v>44144</v>
      </c>
      <c r="M79" s="19" t="s">
        <v>253</v>
      </c>
      <c r="N79" s="19" t="s">
        <v>397</v>
      </c>
      <c r="O79" s="19" t="s">
        <v>4</v>
      </c>
      <c r="P79" s="19" t="s">
        <v>4</v>
      </c>
      <c r="Q79" s="19" t="s">
        <v>207</v>
      </c>
      <c r="R79" s="22">
        <v>34431</v>
      </c>
      <c r="S79" s="19" t="s">
        <v>208</v>
      </c>
      <c r="T79" s="19" t="s">
        <v>729</v>
      </c>
      <c r="U79" s="19" t="s">
        <v>730</v>
      </c>
      <c r="V79" s="19" t="s">
        <v>289</v>
      </c>
      <c r="W79" s="19" t="s">
        <v>4</v>
      </c>
      <c r="X79" s="19" t="s">
        <v>296</v>
      </c>
      <c r="Y79" s="19" t="s">
        <v>297</v>
      </c>
      <c r="Z79" s="19" t="s">
        <v>248</v>
      </c>
      <c r="AA79" s="19" t="s">
        <v>4</v>
      </c>
      <c r="AB79" s="19" t="s">
        <v>731</v>
      </c>
      <c r="AC79" s="19" t="s">
        <v>4</v>
      </c>
      <c r="AD79" s="19" t="s">
        <v>465</v>
      </c>
      <c r="AE79" s="19" t="s">
        <v>260</v>
      </c>
      <c r="AF79" s="19" t="s">
        <v>40</v>
      </c>
      <c r="AG79" s="19">
        <v>0</v>
      </c>
      <c r="AH79" s="19" t="s">
        <v>45</v>
      </c>
      <c r="AI79" s="19">
        <v>100</v>
      </c>
      <c r="AJ79" s="19" t="s">
        <v>115</v>
      </c>
      <c r="AK79" s="19">
        <v>22</v>
      </c>
      <c r="AL79" s="19">
        <v>174</v>
      </c>
      <c r="AM79" s="19" t="s">
        <v>220</v>
      </c>
      <c r="AN79" s="19" t="s">
        <v>221</v>
      </c>
      <c r="AO79" s="19">
        <v>8</v>
      </c>
      <c r="AP79" s="19">
        <v>5</v>
      </c>
      <c r="AQ79" s="23">
        <v>44138</v>
      </c>
      <c r="AR79" s="19" t="s">
        <v>99</v>
      </c>
      <c r="AS79" s="19" t="s">
        <v>4</v>
      </c>
      <c r="AT79" s="19" t="s">
        <v>732</v>
      </c>
      <c r="AU79" s="19" t="s">
        <v>4</v>
      </c>
      <c r="AV79" s="19" t="s">
        <v>4</v>
      </c>
      <c r="AW79" s="19" t="s">
        <v>733</v>
      </c>
      <c r="AX79" s="19" t="s">
        <v>374</v>
      </c>
      <c r="AY79" s="19" t="s">
        <v>4</v>
      </c>
      <c r="AZ79" s="19" t="s">
        <v>734</v>
      </c>
      <c r="BA79" s="19" t="s">
        <v>735</v>
      </c>
      <c r="BB79" s="19" t="s">
        <v>735</v>
      </c>
      <c r="BC79" s="19" t="s">
        <v>298</v>
      </c>
      <c r="BD79" s="19" t="s">
        <v>287</v>
      </c>
      <c r="BE79" s="20" t="s">
        <v>812</v>
      </c>
    </row>
    <row r="80" spans="1:57" x14ac:dyDescent="0.3">
      <c r="A80" s="13" t="s">
        <v>40</v>
      </c>
      <c r="B80" s="14" t="s">
        <v>291</v>
      </c>
      <c r="C80" s="14" t="s">
        <v>292</v>
      </c>
      <c r="D80" s="14" t="s">
        <v>372</v>
      </c>
      <c r="E80" s="14" t="s">
        <v>373</v>
      </c>
      <c r="F80" s="14" t="s">
        <v>727</v>
      </c>
      <c r="G80" s="14" t="s">
        <v>728</v>
      </c>
      <c r="H80" s="14" t="s">
        <v>266</v>
      </c>
      <c r="I80" s="14" t="s">
        <v>78</v>
      </c>
      <c r="J80" s="14" t="s">
        <v>79</v>
      </c>
      <c r="K80" s="14" t="s">
        <v>107</v>
      </c>
      <c r="L80" s="21">
        <v>44144</v>
      </c>
      <c r="M80" s="14" t="s">
        <v>253</v>
      </c>
      <c r="N80" s="14" t="s">
        <v>397</v>
      </c>
      <c r="O80" s="14" t="s">
        <v>4</v>
      </c>
      <c r="P80" s="14" t="s">
        <v>4</v>
      </c>
      <c r="Q80" s="14" t="s">
        <v>207</v>
      </c>
      <c r="R80" s="21">
        <v>34431</v>
      </c>
      <c r="S80" s="14" t="s">
        <v>208</v>
      </c>
      <c r="T80" s="14" t="s">
        <v>729</v>
      </c>
      <c r="U80" s="14" t="s">
        <v>730</v>
      </c>
      <c r="V80" s="14" t="s">
        <v>289</v>
      </c>
      <c r="W80" s="14" t="s">
        <v>4</v>
      </c>
      <c r="X80" s="14" t="s">
        <v>296</v>
      </c>
      <c r="Y80" s="14" t="s">
        <v>297</v>
      </c>
      <c r="Z80" s="14" t="s">
        <v>288</v>
      </c>
      <c r="AA80" s="14" t="s">
        <v>4</v>
      </c>
      <c r="AB80" s="14" t="s">
        <v>731</v>
      </c>
      <c r="AC80" s="14" t="s">
        <v>4</v>
      </c>
      <c r="AD80" s="14" t="s">
        <v>465</v>
      </c>
      <c r="AE80" s="14" t="s">
        <v>260</v>
      </c>
      <c r="AF80" s="14" t="s">
        <v>40</v>
      </c>
      <c r="AG80" s="14">
        <v>0</v>
      </c>
      <c r="AH80" s="14" t="s">
        <v>45</v>
      </c>
      <c r="AI80" s="14">
        <v>100</v>
      </c>
      <c r="AJ80" s="14" t="s">
        <v>115</v>
      </c>
      <c r="AK80" s="14">
        <v>22</v>
      </c>
      <c r="AL80" s="14">
        <v>174</v>
      </c>
      <c r="AM80" s="14" t="s">
        <v>220</v>
      </c>
      <c r="AN80" s="14" t="s">
        <v>221</v>
      </c>
      <c r="AO80" s="14">
        <v>8</v>
      </c>
      <c r="AP80" s="14">
        <v>5</v>
      </c>
      <c r="AQ80" s="15">
        <v>44138</v>
      </c>
      <c r="AR80" s="14" t="s">
        <v>99</v>
      </c>
      <c r="AS80" s="14" t="s">
        <v>4</v>
      </c>
      <c r="AT80" s="14" t="s">
        <v>732</v>
      </c>
      <c r="AU80" s="14" t="s">
        <v>4</v>
      </c>
      <c r="AV80" s="14" t="s">
        <v>4</v>
      </c>
      <c r="AW80" s="14" t="s">
        <v>733</v>
      </c>
      <c r="AX80" s="14" t="s">
        <v>374</v>
      </c>
      <c r="AY80" s="14" t="s">
        <v>4</v>
      </c>
      <c r="AZ80" s="14" t="s">
        <v>734</v>
      </c>
      <c r="BA80" s="14" t="s">
        <v>735</v>
      </c>
      <c r="BB80" s="14" t="s">
        <v>735</v>
      </c>
      <c r="BC80" s="14" t="s">
        <v>298</v>
      </c>
      <c r="BD80" s="14" t="s">
        <v>287</v>
      </c>
      <c r="BE80" s="16" t="s">
        <v>812</v>
      </c>
    </row>
    <row r="81" spans="1:57" x14ac:dyDescent="0.3">
      <c r="A81" s="18" t="s">
        <v>40</v>
      </c>
      <c r="B81" s="19" t="s">
        <v>291</v>
      </c>
      <c r="C81" s="19" t="s">
        <v>292</v>
      </c>
      <c r="D81" s="19" t="s">
        <v>293</v>
      </c>
      <c r="E81" s="19" t="s">
        <v>294</v>
      </c>
      <c r="F81" s="19" t="s">
        <v>736</v>
      </c>
      <c r="G81" s="19" t="s">
        <v>737</v>
      </c>
      <c r="H81" s="19" t="s">
        <v>376</v>
      </c>
      <c r="I81" s="19" t="s">
        <v>37</v>
      </c>
      <c r="J81" s="19" t="s">
        <v>38</v>
      </c>
      <c r="K81" s="19" t="s">
        <v>39</v>
      </c>
      <c r="L81" s="22">
        <v>44165</v>
      </c>
      <c r="M81" s="19" t="s">
        <v>8</v>
      </c>
      <c r="N81" s="19" t="s">
        <v>7</v>
      </c>
      <c r="O81" s="19" t="s">
        <v>4</v>
      </c>
      <c r="P81" s="19" t="s">
        <v>4</v>
      </c>
      <c r="Q81" s="19" t="s">
        <v>207</v>
      </c>
      <c r="R81" s="22">
        <v>31756</v>
      </c>
      <c r="S81" s="19" t="s">
        <v>206</v>
      </c>
      <c r="T81" s="19" t="s">
        <v>434</v>
      </c>
      <c r="U81" s="19" t="s">
        <v>435</v>
      </c>
      <c r="V81" s="19" t="s">
        <v>295</v>
      </c>
      <c r="W81" s="19" t="s">
        <v>4</v>
      </c>
      <c r="X81" s="19" t="s">
        <v>296</v>
      </c>
      <c r="Y81" s="19" t="s">
        <v>297</v>
      </c>
      <c r="Z81" s="19" t="s">
        <v>248</v>
      </c>
      <c r="AA81" s="19" t="s">
        <v>4</v>
      </c>
      <c r="AB81" s="19" t="s">
        <v>738</v>
      </c>
      <c r="AC81" s="19" t="s">
        <v>4</v>
      </c>
      <c r="AD81" s="19" t="s">
        <v>739</v>
      </c>
      <c r="AE81" s="19" t="s">
        <v>740</v>
      </c>
      <c r="AF81" s="19" t="s">
        <v>40</v>
      </c>
      <c r="AG81" s="19">
        <v>264000</v>
      </c>
      <c r="AH81" s="19" t="s">
        <v>45</v>
      </c>
      <c r="AI81" s="19">
        <v>100</v>
      </c>
      <c r="AJ81" s="19" t="s">
        <v>102</v>
      </c>
      <c r="AK81" s="19">
        <v>22000</v>
      </c>
      <c r="AL81" s="19">
        <v>174</v>
      </c>
      <c r="AM81" s="19" t="s">
        <v>220</v>
      </c>
      <c r="AN81" s="19" t="s">
        <v>221</v>
      </c>
      <c r="AO81" s="19">
        <v>8</v>
      </c>
      <c r="AP81" s="19">
        <v>5</v>
      </c>
      <c r="AQ81" s="23">
        <v>44138</v>
      </c>
      <c r="AR81" s="19" t="s">
        <v>97</v>
      </c>
      <c r="AS81" s="19" t="s">
        <v>4</v>
      </c>
      <c r="AT81" s="19" t="s">
        <v>4</v>
      </c>
      <c r="AU81" s="19" t="s">
        <v>4</v>
      </c>
      <c r="AV81" s="19" t="s">
        <v>4</v>
      </c>
      <c r="AW81" s="19" t="s">
        <v>741</v>
      </c>
      <c r="AX81" s="19" t="s">
        <v>436</v>
      </c>
      <c r="AY81" s="19" t="s">
        <v>4</v>
      </c>
      <c r="AZ81" s="19" t="s">
        <v>437</v>
      </c>
      <c r="BA81" s="19" t="s">
        <v>438</v>
      </c>
      <c r="BB81" s="19" t="s">
        <v>438</v>
      </c>
      <c r="BC81" s="19" t="s">
        <v>298</v>
      </c>
      <c r="BD81" s="19" t="s">
        <v>287</v>
      </c>
      <c r="BE81" s="20" t="s">
        <v>812</v>
      </c>
    </row>
    <row r="82" spans="1:57" x14ac:dyDescent="0.3">
      <c r="A82" s="13" t="s">
        <v>40</v>
      </c>
      <c r="B82" s="14" t="s">
        <v>291</v>
      </c>
      <c r="C82" s="14" t="s">
        <v>292</v>
      </c>
      <c r="D82" s="14" t="s">
        <v>293</v>
      </c>
      <c r="E82" s="14" t="s">
        <v>294</v>
      </c>
      <c r="F82" s="14" t="s">
        <v>736</v>
      </c>
      <c r="G82" s="14" t="s">
        <v>737</v>
      </c>
      <c r="H82" s="14" t="s">
        <v>376</v>
      </c>
      <c r="I82" s="14" t="s">
        <v>37</v>
      </c>
      <c r="J82" s="14" t="s">
        <v>38</v>
      </c>
      <c r="K82" s="14" t="s">
        <v>39</v>
      </c>
      <c r="L82" s="21">
        <v>44165</v>
      </c>
      <c r="M82" s="14" t="s">
        <v>8</v>
      </c>
      <c r="N82" s="14" t="s">
        <v>7</v>
      </c>
      <c r="O82" s="14" t="s">
        <v>4</v>
      </c>
      <c r="P82" s="14" t="s">
        <v>4</v>
      </c>
      <c r="Q82" s="14" t="s">
        <v>207</v>
      </c>
      <c r="R82" s="21">
        <v>31756</v>
      </c>
      <c r="S82" s="14" t="s">
        <v>206</v>
      </c>
      <c r="T82" s="14" t="s">
        <v>434</v>
      </c>
      <c r="U82" s="14" t="s">
        <v>435</v>
      </c>
      <c r="V82" s="14" t="s">
        <v>295</v>
      </c>
      <c r="W82" s="14" t="s">
        <v>4</v>
      </c>
      <c r="X82" s="14" t="s">
        <v>296</v>
      </c>
      <c r="Y82" s="14" t="s">
        <v>297</v>
      </c>
      <c r="Z82" s="14" t="s">
        <v>288</v>
      </c>
      <c r="AA82" s="14" t="s">
        <v>4</v>
      </c>
      <c r="AB82" s="14" t="s">
        <v>738</v>
      </c>
      <c r="AC82" s="14" t="s">
        <v>4</v>
      </c>
      <c r="AD82" s="14" t="s">
        <v>739</v>
      </c>
      <c r="AE82" s="14" t="s">
        <v>740</v>
      </c>
      <c r="AF82" s="14" t="s">
        <v>40</v>
      </c>
      <c r="AG82" s="14">
        <v>264000</v>
      </c>
      <c r="AH82" s="14" t="s">
        <v>45</v>
      </c>
      <c r="AI82" s="14">
        <v>100</v>
      </c>
      <c r="AJ82" s="14" t="s">
        <v>102</v>
      </c>
      <c r="AK82" s="14">
        <v>22000</v>
      </c>
      <c r="AL82" s="14">
        <v>174</v>
      </c>
      <c r="AM82" s="14" t="s">
        <v>220</v>
      </c>
      <c r="AN82" s="14" t="s">
        <v>221</v>
      </c>
      <c r="AO82" s="14">
        <v>8</v>
      </c>
      <c r="AP82" s="14">
        <v>5</v>
      </c>
      <c r="AQ82" s="15">
        <v>44138</v>
      </c>
      <c r="AR82" s="14" t="s">
        <v>97</v>
      </c>
      <c r="AS82" s="14" t="s">
        <v>4</v>
      </c>
      <c r="AT82" s="14" t="s">
        <v>4</v>
      </c>
      <c r="AU82" s="14" t="s">
        <v>4</v>
      </c>
      <c r="AV82" s="14" t="s">
        <v>4</v>
      </c>
      <c r="AW82" s="14" t="s">
        <v>741</v>
      </c>
      <c r="AX82" s="14" t="s">
        <v>436</v>
      </c>
      <c r="AY82" s="14" t="s">
        <v>4</v>
      </c>
      <c r="AZ82" s="14" t="s">
        <v>437</v>
      </c>
      <c r="BA82" s="14" t="s">
        <v>438</v>
      </c>
      <c r="BB82" s="14" t="s">
        <v>438</v>
      </c>
      <c r="BC82" s="14" t="s">
        <v>298</v>
      </c>
      <c r="BD82" s="14" t="s">
        <v>287</v>
      </c>
      <c r="BE82" s="16" t="s">
        <v>812</v>
      </c>
    </row>
    <row r="83" spans="1:57" x14ac:dyDescent="0.3">
      <c r="A83" s="18" t="s">
        <v>40</v>
      </c>
      <c r="B83" s="19" t="s">
        <v>291</v>
      </c>
      <c r="C83" s="19" t="s">
        <v>292</v>
      </c>
      <c r="D83" s="19" t="s">
        <v>293</v>
      </c>
      <c r="E83" s="19" t="s">
        <v>294</v>
      </c>
      <c r="F83" s="19" t="s">
        <v>742</v>
      </c>
      <c r="G83" s="19" t="s">
        <v>743</v>
      </c>
      <c r="H83" s="19" t="s">
        <v>266</v>
      </c>
      <c r="I83" s="19" t="s">
        <v>37</v>
      </c>
      <c r="J83" s="19" t="s">
        <v>38</v>
      </c>
      <c r="K83" s="19" t="s">
        <v>39</v>
      </c>
      <c r="L83" s="22">
        <v>44151</v>
      </c>
      <c r="M83" s="19" t="s">
        <v>62</v>
      </c>
      <c r="N83" s="19" t="s">
        <v>49</v>
      </c>
      <c r="O83" s="19" t="s">
        <v>4</v>
      </c>
      <c r="P83" s="19" t="s">
        <v>4</v>
      </c>
      <c r="Q83" s="19" t="s">
        <v>204</v>
      </c>
      <c r="R83" s="22">
        <v>32462</v>
      </c>
      <c r="S83" s="19" t="s">
        <v>206</v>
      </c>
      <c r="T83" s="19" t="s">
        <v>409</v>
      </c>
      <c r="U83" s="19" t="s">
        <v>410</v>
      </c>
      <c r="V83" s="19" t="s">
        <v>295</v>
      </c>
      <c r="W83" s="19" t="s">
        <v>4</v>
      </c>
      <c r="X83" s="19" t="s">
        <v>296</v>
      </c>
      <c r="Y83" s="19" t="s">
        <v>297</v>
      </c>
      <c r="Z83" s="19" t="s">
        <v>248</v>
      </c>
      <c r="AA83" s="19" t="s">
        <v>4</v>
      </c>
      <c r="AB83" s="19" t="s">
        <v>744</v>
      </c>
      <c r="AC83" s="19" t="s">
        <v>4</v>
      </c>
      <c r="AD83" s="19" t="s">
        <v>745</v>
      </c>
      <c r="AE83" s="19" t="s">
        <v>407</v>
      </c>
      <c r="AF83" s="19" t="s">
        <v>40</v>
      </c>
      <c r="AG83" s="19">
        <v>216000</v>
      </c>
      <c r="AH83" s="19" t="s">
        <v>45</v>
      </c>
      <c r="AI83" s="19">
        <v>100</v>
      </c>
      <c r="AJ83" s="19" t="s">
        <v>102</v>
      </c>
      <c r="AK83" s="19">
        <v>18000</v>
      </c>
      <c r="AL83" s="19">
        <v>174</v>
      </c>
      <c r="AM83" s="19" t="s">
        <v>220</v>
      </c>
      <c r="AN83" s="19" t="s">
        <v>221</v>
      </c>
      <c r="AO83" s="19">
        <v>8</v>
      </c>
      <c r="AP83" s="19">
        <v>5</v>
      </c>
      <c r="AQ83" s="23">
        <v>44140</v>
      </c>
      <c r="AR83" s="19" t="s">
        <v>100</v>
      </c>
      <c r="AS83" s="19" t="s">
        <v>4</v>
      </c>
      <c r="AT83" s="19" t="s">
        <v>4</v>
      </c>
      <c r="AU83" s="19" t="s">
        <v>4</v>
      </c>
      <c r="AV83" s="19" t="s">
        <v>4</v>
      </c>
      <c r="AW83" s="19" t="s">
        <v>746</v>
      </c>
      <c r="AX83" s="19" t="s">
        <v>440</v>
      </c>
      <c r="AY83" s="19" t="s">
        <v>4</v>
      </c>
      <c r="AZ83" s="19" t="s">
        <v>411</v>
      </c>
      <c r="BA83" s="19" t="s">
        <v>412</v>
      </c>
      <c r="BB83" s="19" t="s">
        <v>412</v>
      </c>
      <c r="BC83" s="19" t="s">
        <v>310</v>
      </c>
      <c r="BD83" s="19" t="s">
        <v>287</v>
      </c>
      <c r="BE83" s="20" t="s">
        <v>812</v>
      </c>
    </row>
    <row r="84" spans="1:57" x14ac:dyDescent="0.3">
      <c r="A84" s="13" t="s">
        <v>40</v>
      </c>
      <c r="B84" s="14" t="s">
        <v>291</v>
      </c>
      <c r="C84" s="14" t="s">
        <v>292</v>
      </c>
      <c r="D84" s="14" t="s">
        <v>293</v>
      </c>
      <c r="E84" s="14" t="s">
        <v>294</v>
      </c>
      <c r="F84" s="14" t="s">
        <v>742</v>
      </c>
      <c r="G84" s="14" t="s">
        <v>743</v>
      </c>
      <c r="H84" s="14" t="s">
        <v>266</v>
      </c>
      <c r="I84" s="14" t="s">
        <v>37</v>
      </c>
      <c r="J84" s="14" t="s">
        <v>38</v>
      </c>
      <c r="K84" s="14" t="s">
        <v>39</v>
      </c>
      <c r="L84" s="21">
        <v>44151</v>
      </c>
      <c r="M84" s="14" t="s">
        <v>62</v>
      </c>
      <c r="N84" s="14" t="s">
        <v>49</v>
      </c>
      <c r="O84" s="14" t="s">
        <v>4</v>
      </c>
      <c r="P84" s="14" t="s">
        <v>4</v>
      </c>
      <c r="Q84" s="14" t="s">
        <v>204</v>
      </c>
      <c r="R84" s="21">
        <v>32462</v>
      </c>
      <c r="S84" s="14" t="s">
        <v>206</v>
      </c>
      <c r="T84" s="14" t="s">
        <v>409</v>
      </c>
      <c r="U84" s="14" t="s">
        <v>410</v>
      </c>
      <c r="V84" s="14" t="s">
        <v>295</v>
      </c>
      <c r="W84" s="14" t="s">
        <v>4</v>
      </c>
      <c r="X84" s="14" t="s">
        <v>296</v>
      </c>
      <c r="Y84" s="14" t="s">
        <v>297</v>
      </c>
      <c r="Z84" s="14" t="s">
        <v>288</v>
      </c>
      <c r="AA84" s="14" t="s">
        <v>4</v>
      </c>
      <c r="AB84" s="14" t="s">
        <v>744</v>
      </c>
      <c r="AC84" s="14" t="s">
        <v>4</v>
      </c>
      <c r="AD84" s="14" t="s">
        <v>745</v>
      </c>
      <c r="AE84" s="14" t="s">
        <v>407</v>
      </c>
      <c r="AF84" s="14" t="s">
        <v>40</v>
      </c>
      <c r="AG84" s="14">
        <v>216000</v>
      </c>
      <c r="AH84" s="14" t="s">
        <v>45</v>
      </c>
      <c r="AI84" s="14">
        <v>100</v>
      </c>
      <c r="AJ84" s="14" t="s">
        <v>102</v>
      </c>
      <c r="AK84" s="14">
        <v>18000</v>
      </c>
      <c r="AL84" s="14">
        <v>174</v>
      </c>
      <c r="AM84" s="14" t="s">
        <v>220</v>
      </c>
      <c r="AN84" s="14" t="s">
        <v>221</v>
      </c>
      <c r="AO84" s="14">
        <v>8</v>
      </c>
      <c r="AP84" s="14">
        <v>5</v>
      </c>
      <c r="AQ84" s="15">
        <v>44140</v>
      </c>
      <c r="AR84" s="14" t="s">
        <v>100</v>
      </c>
      <c r="AS84" s="14" t="s">
        <v>4</v>
      </c>
      <c r="AT84" s="14" t="s">
        <v>4</v>
      </c>
      <c r="AU84" s="14" t="s">
        <v>4</v>
      </c>
      <c r="AV84" s="14" t="s">
        <v>4</v>
      </c>
      <c r="AW84" s="14" t="s">
        <v>746</v>
      </c>
      <c r="AX84" s="14" t="s">
        <v>440</v>
      </c>
      <c r="AY84" s="14" t="s">
        <v>4</v>
      </c>
      <c r="AZ84" s="14" t="s">
        <v>411</v>
      </c>
      <c r="BA84" s="14" t="s">
        <v>412</v>
      </c>
      <c r="BB84" s="14" t="s">
        <v>412</v>
      </c>
      <c r="BC84" s="14" t="s">
        <v>310</v>
      </c>
      <c r="BD84" s="14" t="s">
        <v>287</v>
      </c>
      <c r="BE84" s="16" t="s">
        <v>812</v>
      </c>
    </row>
    <row r="85" spans="1:57" x14ac:dyDescent="0.3">
      <c r="A85" s="18" t="s">
        <v>40</v>
      </c>
      <c r="B85" s="19" t="s">
        <v>291</v>
      </c>
      <c r="C85" s="19" t="s">
        <v>292</v>
      </c>
      <c r="D85" s="19" t="s">
        <v>293</v>
      </c>
      <c r="E85" s="19" t="s">
        <v>294</v>
      </c>
      <c r="F85" s="19" t="s">
        <v>747</v>
      </c>
      <c r="G85" s="19" t="s">
        <v>748</v>
      </c>
      <c r="H85" s="19" t="s">
        <v>376</v>
      </c>
      <c r="I85" s="19" t="s">
        <v>37</v>
      </c>
      <c r="J85" s="19" t="s">
        <v>38</v>
      </c>
      <c r="K85" s="19" t="s">
        <v>39</v>
      </c>
      <c r="L85" s="22">
        <v>44165</v>
      </c>
      <c r="M85" s="19" t="s">
        <v>60</v>
      </c>
      <c r="N85" s="19" t="s">
        <v>113</v>
      </c>
      <c r="O85" s="19" t="s">
        <v>4</v>
      </c>
      <c r="P85" s="19" t="s">
        <v>4</v>
      </c>
      <c r="Q85" s="19" t="s">
        <v>204</v>
      </c>
      <c r="R85" s="22">
        <v>31976</v>
      </c>
      <c r="S85" s="19" t="s">
        <v>206</v>
      </c>
      <c r="T85" s="19" t="s">
        <v>749</v>
      </c>
      <c r="U85" s="19" t="s">
        <v>750</v>
      </c>
      <c r="V85" s="19" t="s">
        <v>295</v>
      </c>
      <c r="W85" s="19" t="s">
        <v>4</v>
      </c>
      <c r="X85" s="19" t="s">
        <v>296</v>
      </c>
      <c r="Y85" s="19" t="s">
        <v>297</v>
      </c>
      <c r="Z85" s="19" t="s">
        <v>248</v>
      </c>
      <c r="AA85" s="19" t="s">
        <v>4</v>
      </c>
      <c r="AB85" s="19" t="s">
        <v>751</v>
      </c>
      <c r="AC85" s="19" t="s">
        <v>4</v>
      </c>
      <c r="AD85" s="19" t="s">
        <v>307</v>
      </c>
      <c r="AE85" s="19" t="s">
        <v>260</v>
      </c>
      <c r="AF85" s="19" t="s">
        <v>40</v>
      </c>
      <c r="AG85" s="19">
        <v>420000</v>
      </c>
      <c r="AH85" s="19" t="s">
        <v>45</v>
      </c>
      <c r="AI85" s="19">
        <v>100</v>
      </c>
      <c r="AJ85" s="19" t="s">
        <v>102</v>
      </c>
      <c r="AK85" s="19">
        <v>35000</v>
      </c>
      <c r="AL85" s="19">
        <v>174</v>
      </c>
      <c r="AM85" s="19" t="s">
        <v>220</v>
      </c>
      <c r="AN85" s="19" t="s">
        <v>221</v>
      </c>
      <c r="AO85" s="19">
        <v>8</v>
      </c>
      <c r="AP85" s="19">
        <v>5</v>
      </c>
      <c r="AQ85" s="23">
        <v>44140</v>
      </c>
      <c r="AR85" s="19" t="s">
        <v>100</v>
      </c>
      <c r="AS85" s="19" t="s">
        <v>4</v>
      </c>
      <c r="AT85" s="19" t="s">
        <v>4</v>
      </c>
      <c r="AU85" s="19" t="s">
        <v>4</v>
      </c>
      <c r="AV85" s="19" t="s">
        <v>4</v>
      </c>
      <c r="AW85" s="19" t="s">
        <v>752</v>
      </c>
      <c r="AX85" s="19" t="s">
        <v>478</v>
      </c>
      <c r="AY85" s="19" t="s">
        <v>4</v>
      </c>
      <c r="AZ85" s="19" t="s">
        <v>753</v>
      </c>
      <c r="BA85" s="19" t="s">
        <v>754</v>
      </c>
      <c r="BB85" s="19" t="s">
        <v>754</v>
      </c>
      <c r="BC85" s="19" t="s">
        <v>298</v>
      </c>
      <c r="BD85" s="19" t="s">
        <v>287</v>
      </c>
      <c r="BE85" s="20" t="s">
        <v>812</v>
      </c>
    </row>
    <row r="86" spans="1:57" x14ac:dyDescent="0.3">
      <c r="A86" s="13" t="s">
        <v>40</v>
      </c>
      <c r="B86" s="14" t="s">
        <v>291</v>
      </c>
      <c r="C86" s="14" t="s">
        <v>292</v>
      </c>
      <c r="D86" s="14" t="s">
        <v>293</v>
      </c>
      <c r="E86" s="14" t="s">
        <v>294</v>
      </c>
      <c r="F86" s="14" t="s">
        <v>747</v>
      </c>
      <c r="G86" s="14" t="s">
        <v>748</v>
      </c>
      <c r="H86" s="14" t="s">
        <v>376</v>
      </c>
      <c r="I86" s="14" t="s">
        <v>37</v>
      </c>
      <c r="J86" s="14" t="s">
        <v>38</v>
      </c>
      <c r="K86" s="14" t="s">
        <v>39</v>
      </c>
      <c r="L86" s="21">
        <v>44165</v>
      </c>
      <c r="M86" s="14" t="s">
        <v>60</v>
      </c>
      <c r="N86" s="14" t="s">
        <v>113</v>
      </c>
      <c r="O86" s="14" t="s">
        <v>4</v>
      </c>
      <c r="P86" s="14" t="s">
        <v>4</v>
      </c>
      <c r="Q86" s="14" t="s">
        <v>204</v>
      </c>
      <c r="R86" s="21">
        <v>31976</v>
      </c>
      <c r="S86" s="14" t="s">
        <v>206</v>
      </c>
      <c r="T86" s="14" t="s">
        <v>749</v>
      </c>
      <c r="U86" s="14" t="s">
        <v>750</v>
      </c>
      <c r="V86" s="14" t="s">
        <v>295</v>
      </c>
      <c r="W86" s="14" t="s">
        <v>4</v>
      </c>
      <c r="X86" s="14" t="s">
        <v>296</v>
      </c>
      <c r="Y86" s="14" t="s">
        <v>297</v>
      </c>
      <c r="Z86" s="14" t="s">
        <v>288</v>
      </c>
      <c r="AA86" s="14" t="s">
        <v>4</v>
      </c>
      <c r="AB86" s="14" t="s">
        <v>751</v>
      </c>
      <c r="AC86" s="14" t="s">
        <v>4</v>
      </c>
      <c r="AD86" s="14" t="s">
        <v>307</v>
      </c>
      <c r="AE86" s="14" t="s">
        <v>260</v>
      </c>
      <c r="AF86" s="14" t="s">
        <v>40</v>
      </c>
      <c r="AG86" s="14">
        <v>420000</v>
      </c>
      <c r="AH86" s="14" t="s">
        <v>45</v>
      </c>
      <c r="AI86" s="14">
        <v>100</v>
      </c>
      <c r="AJ86" s="14" t="s">
        <v>102</v>
      </c>
      <c r="AK86" s="14">
        <v>35000</v>
      </c>
      <c r="AL86" s="14">
        <v>174</v>
      </c>
      <c r="AM86" s="14" t="s">
        <v>220</v>
      </c>
      <c r="AN86" s="14" t="s">
        <v>221</v>
      </c>
      <c r="AO86" s="14">
        <v>8</v>
      </c>
      <c r="AP86" s="14">
        <v>5</v>
      </c>
      <c r="AQ86" s="15">
        <v>44140</v>
      </c>
      <c r="AR86" s="14" t="s">
        <v>100</v>
      </c>
      <c r="AS86" s="14" t="s">
        <v>4</v>
      </c>
      <c r="AT86" s="14" t="s">
        <v>4</v>
      </c>
      <c r="AU86" s="14" t="s">
        <v>4</v>
      </c>
      <c r="AV86" s="14" t="s">
        <v>4</v>
      </c>
      <c r="AW86" s="14" t="s">
        <v>752</v>
      </c>
      <c r="AX86" s="14" t="s">
        <v>478</v>
      </c>
      <c r="AY86" s="14" t="s">
        <v>4</v>
      </c>
      <c r="AZ86" s="14" t="s">
        <v>753</v>
      </c>
      <c r="BA86" s="14" t="s">
        <v>754</v>
      </c>
      <c r="BB86" s="14" t="s">
        <v>754</v>
      </c>
      <c r="BC86" s="14" t="s">
        <v>298</v>
      </c>
      <c r="BD86" s="14" t="s">
        <v>287</v>
      </c>
      <c r="BE86" s="16" t="s">
        <v>812</v>
      </c>
    </row>
    <row r="87" spans="1:57" x14ac:dyDescent="0.3">
      <c r="A87" s="18" t="s">
        <v>40</v>
      </c>
      <c r="B87" s="19" t="s">
        <v>291</v>
      </c>
      <c r="C87" s="19" t="s">
        <v>292</v>
      </c>
      <c r="D87" s="19" t="s">
        <v>293</v>
      </c>
      <c r="E87" s="19" t="s">
        <v>294</v>
      </c>
      <c r="F87" s="19" t="s">
        <v>755</v>
      </c>
      <c r="G87" s="19" t="s">
        <v>756</v>
      </c>
      <c r="H87" s="19" t="s">
        <v>266</v>
      </c>
      <c r="I87" s="19" t="s">
        <v>37</v>
      </c>
      <c r="J87" s="19" t="s">
        <v>38</v>
      </c>
      <c r="K87" s="19" t="s">
        <v>39</v>
      </c>
      <c r="L87" s="22">
        <v>44165</v>
      </c>
      <c r="M87" s="19" t="s">
        <v>51</v>
      </c>
      <c r="N87" s="19" t="s">
        <v>58</v>
      </c>
      <c r="O87" s="19" t="s">
        <v>4</v>
      </c>
      <c r="P87" s="19" t="s">
        <v>4</v>
      </c>
      <c r="Q87" s="19" t="s">
        <v>204</v>
      </c>
      <c r="R87" s="22">
        <v>33505</v>
      </c>
      <c r="S87" s="19" t="s">
        <v>206</v>
      </c>
      <c r="T87" s="19" t="s">
        <v>527</v>
      </c>
      <c r="U87" s="19" t="s">
        <v>528</v>
      </c>
      <c r="V87" s="19" t="s">
        <v>295</v>
      </c>
      <c r="W87" s="19" t="s">
        <v>4</v>
      </c>
      <c r="X87" s="19" t="s">
        <v>296</v>
      </c>
      <c r="Y87" s="19" t="s">
        <v>297</v>
      </c>
      <c r="Z87" s="19" t="s">
        <v>248</v>
      </c>
      <c r="AA87" s="19" t="s">
        <v>4</v>
      </c>
      <c r="AB87" s="19" t="s">
        <v>757</v>
      </c>
      <c r="AC87" s="19" t="s">
        <v>4</v>
      </c>
      <c r="AD87" s="19" t="s">
        <v>758</v>
      </c>
      <c r="AE87" s="19" t="s">
        <v>759</v>
      </c>
      <c r="AF87" s="19" t="s">
        <v>40</v>
      </c>
      <c r="AG87" s="19">
        <v>384000</v>
      </c>
      <c r="AH87" s="19" t="s">
        <v>45</v>
      </c>
      <c r="AI87" s="19">
        <v>100</v>
      </c>
      <c r="AJ87" s="19" t="s">
        <v>102</v>
      </c>
      <c r="AK87" s="19">
        <v>32000</v>
      </c>
      <c r="AL87" s="19">
        <v>174</v>
      </c>
      <c r="AM87" s="19" t="s">
        <v>220</v>
      </c>
      <c r="AN87" s="19" t="s">
        <v>221</v>
      </c>
      <c r="AO87" s="19">
        <v>8</v>
      </c>
      <c r="AP87" s="19">
        <v>5</v>
      </c>
      <c r="AQ87" s="23">
        <v>44140</v>
      </c>
      <c r="AR87" s="19" t="s">
        <v>98</v>
      </c>
      <c r="AS87" s="19" t="s">
        <v>4</v>
      </c>
      <c r="AT87" s="19" t="s">
        <v>4</v>
      </c>
      <c r="AU87" s="19" t="s">
        <v>4</v>
      </c>
      <c r="AV87" s="19" t="s">
        <v>4</v>
      </c>
      <c r="AW87" s="19" t="s">
        <v>760</v>
      </c>
      <c r="AX87" s="19" t="s">
        <v>478</v>
      </c>
      <c r="AY87" s="19" t="s">
        <v>4</v>
      </c>
      <c r="AZ87" s="19" t="s">
        <v>533</v>
      </c>
      <c r="BA87" s="19" t="s">
        <v>534</v>
      </c>
      <c r="BB87" s="19" t="s">
        <v>534</v>
      </c>
      <c r="BC87" s="19" t="s">
        <v>298</v>
      </c>
      <c r="BD87" s="19" t="s">
        <v>287</v>
      </c>
      <c r="BE87" s="20" t="s">
        <v>812</v>
      </c>
    </row>
    <row r="88" spans="1:57" x14ac:dyDescent="0.3">
      <c r="A88" s="13" t="s">
        <v>40</v>
      </c>
      <c r="B88" s="14" t="s">
        <v>291</v>
      </c>
      <c r="C88" s="14" t="s">
        <v>292</v>
      </c>
      <c r="D88" s="14" t="s">
        <v>293</v>
      </c>
      <c r="E88" s="14" t="s">
        <v>294</v>
      </c>
      <c r="F88" s="14" t="s">
        <v>755</v>
      </c>
      <c r="G88" s="14" t="s">
        <v>756</v>
      </c>
      <c r="H88" s="14" t="s">
        <v>266</v>
      </c>
      <c r="I88" s="14" t="s">
        <v>37</v>
      </c>
      <c r="J88" s="14" t="s">
        <v>38</v>
      </c>
      <c r="K88" s="14" t="s">
        <v>39</v>
      </c>
      <c r="L88" s="21">
        <v>44165</v>
      </c>
      <c r="M88" s="14" t="s">
        <v>51</v>
      </c>
      <c r="N88" s="14" t="s">
        <v>58</v>
      </c>
      <c r="O88" s="14" t="s">
        <v>4</v>
      </c>
      <c r="P88" s="14" t="s">
        <v>4</v>
      </c>
      <c r="Q88" s="14" t="s">
        <v>204</v>
      </c>
      <c r="R88" s="21">
        <v>33505</v>
      </c>
      <c r="S88" s="14" t="s">
        <v>206</v>
      </c>
      <c r="T88" s="14" t="s">
        <v>527</v>
      </c>
      <c r="U88" s="14" t="s">
        <v>528</v>
      </c>
      <c r="V88" s="14" t="s">
        <v>295</v>
      </c>
      <c r="W88" s="14" t="s">
        <v>4</v>
      </c>
      <c r="X88" s="14" t="s">
        <v>296</v>
      </c>
      <c r="Y88" s="14" t="s">
        <v>297</v>
      </c>
      <c r="Z88" s="14" t="s">
        <v>288</v>
      </c>
      <c r="AA88" s="14" t="s">
        <v>4</v>
      </c>
      <c r="AB88" s="14" t="s">
        <v>757</v>
      </c>
      <c r="AC88" s="14" t="s">
        <v>4</v>
      </c>
      <c r="AD88" s="14" t="s">
        <v>758</v>
      </c>
      <c r="AE88" s="14" t="s">
        <v>759</v>
      </c>
      <c r="AF88" s="14" t="s">
        <v>40</v>
      </c>
      <c r="AG88" s="14">
        <v>384000</v>
      </c>
      <c r="AH88" s="14" t="s">
        <v>45</v>
      </c>
      <c r="AI88" s="14">
        <v>100</v>
      </c>
      <c r="AJ88" s="14" t="s">
        <v>102</v>
      </c>
      <c r="AK88" s="14">
        <v>32000</v>
      </c>
      <c r="AL88" s="14">
        <v>174</v>
      </c>
      <c r="AM88" s="14" t="s">
        <v>220</v>
      </c>
      <c r="AN88" s="14" t="s">
        <v>221</v>
      </c>
      <c r="AO88" s="14">
        <v>8</v>
      </c>
      <c r="AP88" s="14">
        <v>5</v>
      </c>
      <c r="AQ88" s="15">
        <v>44140</v>
      </c>
      <c r="AR88" s="14" t="s">
        <v>98</v>
      </c>
      <c r="AS88" s="14" t="s">
        <v>4</v>
      </c>
      <c r="AT88" s="14" t="s">
        <v>4</v>
      </c>
      <c r="AU88" s="14" t="s">
        <v>4</v>
      </c>
      <c r="AV88" s="14" t="s">
        <v>4</v>
      </c>
      <c r="AW88" s="14" t="s">
        <v>760</v>
      </c>
      <c r="AX88" s="14" t="s">
        <v>478</v>
      </c>
      <c r="AY88" s="14" t="s">
        <v>4</v>
      </c>
      <c r="AZ88" s="14" t="s">
        <v>533</v>
      </c>
      <c r="BA88" s="14" t="s">
        <v>534</v>
      </c>
      <c r="BB88" s="14" t="s">
        <v>534</v>
      </c>
      <c r="BC88" s="14" t="s">
        <v>298</v>
      </c>
      <c r="BD88" s="14" t="s">
        <v>287</v>
      </c>
      <c r="BE88" s="16" t="s">
        <v>812</v>
      </c>
    </row>
    <row r="89" spans="1:57" x14ac:dyDescent="0.3">
      <c r="A89" s="18" t="s">
        <v>40</v>
      </c>
      <c r="B89" s="19" t="s">
        <v>291</v>
      </c>
      <c r="C89" s="19" t="s">
        <v>292</v>
      </c>
      <c r="D89" s="19" t="s">
        <v>293</v>
      </c>
      <c r="E89" s="19" t="s">
        <v>294</v>
      </c>
      <c r="F89" s="19" t="s">
        <v>761</v>
      </c>
      <c r="G89" s="19" t="s">
        <v>762</v>
      </c>
      <c r="H89" s="19" t="s">
        <v>266</v>
      </c>
      <c r="I89" s="19" t="s">
        <v>37</v>
      </c>
      <c r="J89" s="19" t="s">
        <v>38</v>
      </c>
      <c r="K89" s="19" t="s">
        <v>39</v>
      </c>
      <c r="L89" s="22">
        <v>44158</v>
      </c>
      <c r="M89" s="19" t="s">
        <v>8</v>
      </c>
      <c r="N89" s="19" t="s">
        <v>55</v>
      </c>
      <c r="O89" s="19" t="s">
        <v>4</v>
      </c>
      <c r="P89" s="19" t="s">
        <v>4</v>
      </c>
      <c r="Q89" s="19" t="s">
        <v>204</v>
      </c>
      <c r="R89" s="22">
        <v>34610</v>
      </c>
      <c r="S89" s="19" t="s">
        <v>206</v>
      </c>
      <c r="T89" s="19" t="s">
        <v>378</v>
      </c>
      <c r="U89" s="19" t="s">
        <v>379</v>
      </c>
      <c r="V89" s="19" t="s">
        <v>295</v>
      </c>
      <c r="W89" s="19" t="s">
        <v>4</v>
      </c>
      <c r="X89" s="19" t="s">
        <v>296</v>
      </c>
      <c r="Y89" s="19" t="s">
        <v>297</v>
      </c>
      <c r="Z89" s="19" t="s">
        <v>248</v>
      </c>
      <c r="AA89" s="19" t="s">
        <v>4</v>
      </c>
      <c r="AB89" s="19" t="s">
        <v>763</v>
      </c>
      <c r="AC89" s="19" t="s">
        <v>4</v>
      </c>
      <c r="AD89" s="19" t="s">
        <v>257</v>
      </c>
      <c r="AE89" s="19" t="s">
        <v>309</v>
      </c>
      <c r="AF89" s="19" t="s">
        <v>40</v>
      </c>
      <c r="AG89" s="19">
        <v>235200</v>
      </c>
      <c r="AH89" s="19" t="s">
        <v>45</v>
      </c>
      <c r="AI89" s="19">
        <v>100</v>
      </c>
      <c r="AJ89" s="19" t="s">
        <v>102</v>
      </c>
      <c r="AK89" s="19">
        <v>19600</v>
      </c>
      <c r="AL89" s="19">
        <v>174</v>
      </c>
      <c r="AM89" s="19" t="s">
        <v>220</v>
      </c>
      <c r="AN89" s="19" t="s">
        <v>221</v>
      </c>
      <c r="AO89" s="19">
        <v>8</v>
      </c>
      <c r="AP89" s="19">
        <v>5</v>
      </c>
      <c r="AQ89" s="23">
        <v>44141</v>
      </c>
      <c r="AR89" s="19" t="s">
        <v>99</v>
      </c>
      <c r="AS89" s="19" t="s">
        <v>4</v>
      </c>
      <c r="AT89" s="19" t="s">
        <v>4</v>
      </c>
      <c r="AU89" s="19" t="s">
        <v>4</v>
      </c>
      <c r="AV89" s="19" t="s">
        <v>4</v>
      </c>
      <c r="AW89" s="19" t="s">
        <v>764</v>
      </c>
      <c r="AX89" s="19" t="s">
        <v>355</v>
      </c>
      <c r="AY89" s="19" t="s">
        <v>4</v>
      </c>
      <c r="AZ89" s="19" t="s">
        <v>381</v>
      </c>
      <c r="BA89" s="19" t="s">
        <v>382</v>
      </c>
      <c r="BB89" s="19" t="s">
        <v>382</v>
      </c>
      <c r="BC89" s="19" t="s">
        <v>310</v>
      </c>
      <c r="BD89" s="19" t="s">
        <v>287</v>
      </c>
      <c r="BE89" s="20" t="s">
        <v>812</v>
      </c>
    </row>
    <row r="90" spans="1:57" x14ac:dyDescent="0.3">
      <c r="A90" s="13" t="s">
        <v>40</v>
      </c>
      <c r="B90" s="14" t="s">
        <v>291</v>
      </c>
      <c r="C90" s="14" t="s">
        <v>292</v>
      </c>
      <c r="D90" s="14" t="s">
        <v>293</v>
      </c>
      <c r="E90" s="14" t="s">
        <v>294</v>
      </c>
      <c r="F90" s="14" t="s">
        <v>761</v>
      </c>
      <c r="G90" s="14" t="s">
        <v>762</v>
      </c>
      <c r="H90" s="14" t="s">
        <v>266</v>
      </c>
      <c r="I90" s="14" t="s">
        <v>37</v>
      </c>
      <c r="J90" s="14" t="s">
        <v>38</v>
      </c>
      <c r="K90" s="14" t="s">
        <v>39</v>
      </c>
      <c r="L90" s="21">
        <v>44158</v>
      </c>
      <c r="M90" s="14" t="s">
        <v>8</v>
      </c>
      <c r="N90" s="14" t="s">
        <v>55</v>
      </c>
      <c r="O90" s="14" t="s">
        <v>4</v>
      </c>
      <c r="P90" s="14" t="s">
        <v>4</v>
      </c>
      <c r="Q90" s="14" t="s">
        <v>204</v>
      </c>
      <c r="R90" s="21">
        <v>34610</v>
      </c>
      <c r="S90" s="14" t="s">
        <v>206</v>
      </c>
      <c r="T90" s="14" t="s">
        <v>378</v>
      </c>
      <c r="U90" s="14" t="s">
        <v>379</v>
      </c>
      <c r="V90" s="14" t="s">
        <v>295</v>
      </c>
      <c r="W90" s="14" t="s">
        <v>4</v>
      </c>
      <c r="X90" s="14" t="s">
        <v>296</v>
      </c>
      <c r="Y90" s="14" t="s">
        <v>297</v>
      </c>
      <c r="Z90" s="14" t="s">
        <v>288</v>
      </c>
      <c r="AA90" s="14" t="s">
        <v>4</v>
      </c>
      <c r="AB90" s="14" t="s">
        <v>763</v>
      </c>
      <c r="AC90" s="14" t="s">
        <v>4</v>
      </c>
      <c r="AD90" s="14" t="s">
        <v>257</v>
      </c>
      <c r="AE90" s="14" t="s">
        <v>309</v>
      </c>
      <c r="AF90" s="14" t="s">
        <v>40</v>
      </c>
      <c r="AG90" s="14">
        <v>235200</v>
      </c>
      <c r="AH90" s="14" t="s">
        <v>45</v>
      </c>
      <c r="AI90" s="14">
        <v>100</v>
      </c>
      <c r="AJ90" s="14" t="s">
        <v>102</v>
      </c>
      <c r="AK90" s="14">
        <v>19600</v>
      </c>
      <c r="AL90" s="14">
        <v>174</v>
      </c>
      <c r="AM90" s="14" t="s">
        <v>220</v>
      </c>
      <c r="AN90" s="14" t="s">
        <v>221</v>
      </c>
      <c r="AO90" s="14">
        <v>8</v>
      </c>
      <c r="AP90" s="14">
        <v>5</v>
      </c>
      <c r="AQ90" s="15">
        <v>44141</v>
      </c>
      <c r="AR90" s="14" t="s">
        <v>99</v>
      </c>
      <c r="AS90" s="14" t="s">
        <v>4</v>
      </c>
      <c r="AT90" s="14" t="s">
        <v>4</v>
      </c>
      <c r="AU90" s="14" t="s">
        <v>4</v>
      </c>
      <c r="AV90" s="14" t="s">
        <v>4</v>
      </c>
      <c r="AW90" s="14" t="s">
        <v>764</v>
      </c>
      <c r="AX90" s="14" t="s">
        <v>355</v>
      </c>
      <c r="AY90" s="14" t="s">
        <v>4</v>
      </c>
      <c r="AZ90" s="14" t="s">
        <v>381</v>
      </c>
      <c r="BA90" s="14" t="s">
        <v>382</v>
      </c>
      <c r="BB90" s="14" t="s">
        <v>382</v>
      </c>
      <c r="BC90" s="14" t="s">
        <v>310</v>
      </c>
      <c r="BD90" s="14" t="s">
        <v>287</v>
      </c>
      <c r="BE90" s="16" t="s">
        <v>812</v>
      </c>
    </row>
    <row r="91" spans="1:57" x14ac:dyDescent="0.3">
      <c r="A91" s="18" t="s">
        <v>40</v>
      </c>
      <c r="B91" s="19" t="s">
        <v>331</v>
      </c>
      <c r="C91" s="19" t="s">
        <v>332</v>
      </c>
      <c r="D91" s="19" t="s">
        <v>333</v>
      </c>
      <c r="E91" s="19" t="s">
        <v>334</v>
      </c>
      <c r="F91" s="19" t="s">
        <v>765</v>
      </c>
      <c r="G91" s="19" t="s">
        <v>766</v>
      </c>
      <c r="H91" s="19" t="s">
        <v>266</v>
      </c>
      <c r="I91" s="19" t="s">
        <v>37</v>
      </c>
      <c r="J91" s="19" t="s">
        <v>38</v>
      </c>
      <c r="K91" s="19" t="s">
        <v>39</v>
      </c>
      <c r="L91" s="22">
        <v>44151</v>
      </c>
      <c r="M91" s="19" t="s">
        <v>56</v>
      </c>
      <c r="N91" s="19" t="s">
        <v>767</v>
      </c>
      <c r="O91" s="19" t="s">
        <v>4</v>
      </c>
      <c r="P91" s="19" t="s">
        <v>4</v>
      </c>
      <c r="Q91" s="19" t="s">
        <v>204</v>
      </c>
      <c r="R91" s="22">
        <v>35741</v>
      </c>
      <c r="S91" s="19" t="s">
        <v>206</v>
      </c>
      <c r="T91" s="19" t="s">
        <v>338</v>
      </c>
      <c r="U91" s="19" t="s">
        <v>339</v>
      </c>
      <c r="V91" s="19" t="s">
        <v>295</v>
      </c>
      <c r="W91" s="19" t="s">
        <v>4</v>
      </c>
      <c r="X91" s="19" t="s">
        <v>296</v>
      </c>
      <c r="Y91" s="19" t="s">
        <v>297</v>
      </c>
      <c r="Z91" s="19" t="s">
        <v>248</v>
      </c>
      <c r="AA91" s="19" t="s">
        <v>4</v>
      </c>
      <c r="AB91" s="19" t="s">
        <v>768</v>
      </c>
      <c r="AC91" s="19" t="s">
        <v>769</v>
      </c>
      <c r="AD91" s="19" t="s">
        <v>341</v>
      </c>
      <c r="AE91" s="19" t="s">
        <v>340</v>
      </c>
      <c r="AF91" s="19" t="s">
        <v>40</v>
      </c>
      <c r="AG91" s="19">
        <v>108000</v>
      </c>
      <c r="AH91" s="19" t="s">
        <v>45</v>
      </c>
      <c r="AI91" s="19">
        <v>100</v>
      </c>
      <c r="AJ91" s="19" t="s">
        <v>102</v>
      </c>
      <c r="AK91" s="19">
        <v>9000</v>
      </c>
      <c r="AL91" s="19">
        <v>174</v>
      </c>
      <c r="AM91" s="19" t="s">
        <v>220</v>
      </c>
      <c r="AN91" s="19" t="s">
        <v>221</v>
      </c>
      <c r="AO91" s="19">
        <v>8</v>
      </c>
      <c r="AP91" s="19">
        <v>5</v>
      </c>
      <c r="AQ91" s="23">
        <v>44141</v>
      </c>
      <c r="AR91" s="19" t="s">
        <v>99</v>
      </c>
      <c r="AS91" s="19" t="s">
        <v>4</v>
      </c>
      <c r="AT91" s="19" t="s">
        <v>4</v>
      </c>
      <c r="AU91" s="19" t="s">
        <v>4</v>
      </c>
      <c r="AV91" s="19" t="s">
        <v>4</v>
      </c>
      <c r="AW91" s="19" t="s">
        <v>770</v>
      </c>
      <c r="AX91" s="19" t="s">
        <v>335</v>
      </c>
      <c r="AY91" s="19" t="s">
        <v>4</v>
      </c>
      <c r="AZ91" s="19" t="s">
        <v>343</v>
      </c>
      <c r="BA91" s="19" t="s">
        <v>344</v>
      </c>
      <c r="BB91" s="19" t="s">
        <v>344</v>
      </c>
      <c r="BC91" s="19" t="s">
        <v>345</v>
      </c>
      <c r="BD91" s="19" t="s">
        <v>287</v>
      </c>
      <c r="BE91" s="20" t="s">
        <v>812</v>
      </c>
    </row>
    <row r="92" spans="1:57" x14ac:dyDescent="0.3">
      <c r="A92" s="13" t="s">
        <v>40</v>
      </c>
      <c r="B92" s="14" t="s">
        <v>331</v>
      </c>
      <c r="C92" s="14" t="s">
        <v>332</v>
      </c>
      <c r="D92" s="14" t="s">
        <v>333</v>
      </c>
      <c r="E92" s="14" t="s">
        <v>334</v>
      </c>
      <c r="F92" s="14" t="s">
        <v>765</v>
      </c>
      <c r="G92" s="14" t="s">
        <v>766</v>
      </c>
      <c r="H92" s="14" t="s">
        <v>266</v>
      </c>
      <c r="I92" s="14" t="s">
        <v>37</v>
      </c>
      <c r="J92" s="14" t="s">
        <v>38</v>
      </c>
      <c r="K92" s="14" t="s">
        <v>39</v>
      </c>
      <c r="L92" s="21">
        <v>44151</v>
      </c>
      <c r="M92" s="14" t="s">
        <v>56</v>
      </c>
      <c r="N92" s="14" t="s">
        <v>767</v>
      </c>
      <c r="O92" s="14" t="s">
        <v>4</v>
      </c>
      <c r="P92" s="14" t="s">
        <v>4</v>
      </c>
      <c r="Q92" s="14" t="s">
        <v>204</v>
      </c>
      <c r="R92" s="21">
        <v>35741</v>
      </c>
      <c r="S92" s="14" t="s">
        <v>206</v>
      </c>
      <c r="T92" s="14" t="s">
        <v>338</v>
      </c>
      <c r="U92" s="14" t="s">
        <v>339</v>
      </c>
      <c r="V92" s="14" t="s">
        <v>295</v>
      </c>
      <c r="W92" s="14" t="s">
        <v>4</v>
      </c>
      <c r="X92" s="14" t="s">
        <v>296</v>
      </c>
      <c r="Y92" s="14" t="s">
        <v>297</v>
      </c>
      <c r="Z92" s="14" t="s">
        <v>288</v>
      </c>
      <c r="AA92" s="14" t="s">
        <v>4</v>
      </c>
      <c r="AB92" s="14" t="s">
        <v>768</v>
      </c>
      <c r="AC92" s="14" t="s">
        <v>769</v>
      </c>
      <c r="AD92" s="14" t="s">
        <v>341</v>
      </c>
      <c r="AE92" s="14" t="s">
        <v>340</v>
      </c>
      <c r="AF92" s="14" t="s">
        <v>40</v>
      </c>
      <c r="AG92" s="14">
        <v>108000</v>
      </c>
      <c r="AH92" s="14" t="s">
        <v>45</v>
      </c>
      <c r="AI92" s="14">
        <v>100</v>
      </c>
      <c r="AJ92" s="14" t="s">
        <v>102</v>
      </c>
      <c r="AK92" s="14">
        <v>9000</v>
      </c>
      <c r="AL92" s="14">
        <v>174</v>
      </c>
      <c r="AM92" s="14" t="s">
        <v>220</v>
      </c>
      <c r="AN92" s="14" t="s">
        <v>221</v>
      </c>
      <c r="AO92" s="14">
        <v>8</v>
      </c>
      <c r="AP92" s="14">
        <v>5</v>
      </c>
      <c r="AQ92" s="15">
        <v>44141</v>
      </c>
      <c r="AR92" s="14" t="s">
        <v>99</v>
      </c>
      <c r="AS92" s="14" t="s">
        <v>4</v>
      </c>
      <c r="AT92" s="14" t="s">
        <v>4</v>
      </c>
      <c r="AU92" s="14" t="s">
        <v>4</v>
      </c>
      <c r="AV92" s="14" t="s">
        <v>4</v>
      </c>
      <c r="AW92" s="14" t="s">
        <v>770</v>
      </c>
      <c r="AX92" s="14" t="s">
        <v>335</v>
      </c>
      <c r="AY92" s="14" t="s">
        <v>4</v>
      </c>
      <c r="AZ92" s="14" t="s">
        <v>343</v>
      </c>
      <c r="BA92" s="14" t="s">
        <v>344</v>
      </c>
      <c r="BB92" s="14" t="s">
        <v>344</v>
      </c>
      <c r="BC92" s="14" t="s">
        <v>345</v>
      </c>
      <c r="BD92" s="14" t="s">
        <v>287</v>
      </c>
      <c r="BE92" s="16" t="s">
        <v>812</v>
      </c>
    </row>
    <row r="93" spans="1:57" x14ac:dyDescent="0.3">
      <c r="A93" s="18" t="s">
        <v>40</v>
      </c>
      <c r="B93" s="19" t="s">
        <v>291</v>
      </c>
      <c r="C93" s="19" t="s">
        <v>292</v>
      </c>
      <c r="D93" s="19" t="s">
        <v>293</v>
      </c>
      <c r="E93" s="19" t="s">
        <v>294</v>
      </c>
      <c r="F93" s="19" t="s">
        <v>771</v>
      </c>
      <c r="G93" s="19" t="s">
        <v>772</v>
      </c>
      <c r="H93" s="19" t="s">
        <v>266</v>
      </c>
      <c r="I93" s="19" t="s">
        <v>37</v>
      </c>
      <c r="J93" s="19" t="s">
        <v>38</v>
      </c>
      <c r="K93" s="19" t="s">
        <v>39</v>
      </c>
      <c r="L93" s="22">
        <v>44158</v>
      </c>
      <c r="M93" s="19" t="s">
        <v>46</v>
      </c>
      <c r="N93" s="19" t="s">
        <v>114</v>
      </c>
      <c r="O93" s="19" t="s">
        <v>4</v>
      </c>
      <c r="P93" s="19" t="s">
        <v>4</v>
      </c>
      <c r="Q93" s="19" t="s">
        <v>207</v>
      </c>
      <c r="R93" s="22">
        <v>29958</v>
      </c>
      <c r="S93" s="19" t="s">
        <v>206</v>
      </c>
      <c r="T93" s="19" t="s">
        <v>481</v>
      </c>
      <c r="U93" s="19" t="s">
        <v>482</v>
      </c>
      <c r="V93" s="19" t="s">
        <v>295</v>
      </c>
      <c r="W93" s="19" t="s">
        <v>4</v>
      </c>
      <c r="X93" s="19" t="s">
        <v>296</v>
      </c>
      <c r="Y93" s="19" t="s">
        <v>297</v>
      </c>
      <c r="Z93" s="19" t="s">
        <v>248</v>
      </c>
      <c r="AA93" s="19" t="s">
        <v>4</v>
      </c>
      <c r="AB93" s="19" t="s">
        <v>773</v>
      </c>
      <c r="AC93" s="19" t="s">
        <v>774</v>
      </c>
      <c r="AD93" s="19" t="s">
        <v>257</v>
      </c>
      <c r="AE93" s="19" t="s">
        <v>256</v>
      </c>
      <c r="AF93" s="19" t="s">
        <v>40</v>
      </c>
      <c r="AG93" s="19">
        <v>288000</v>
      </c>
      <c r="AH93" s="19" t="s">
        <v>45</v>
      </c>
      <c r="AI93" s="19">
        <v>100</v>
      </c>
      <c r="AJ93" s="19" t="s">
        <v>102</v>
      </c>
      <c r="AK93" s="19">
        <v>24000</v>
      </c>
      <c r="AL93" s="19">
        <v>174</v>
      </c>
      <c r="AM93" s="19" t="s">
        <v>220</v>
      </c>
      <c r="AN93" s="19" t="s">
        <v>221</v>
      </c>
      <c r="AO93" s="19">
        <v>8</v>
      </c>
      <c r="AP93" s="19">
        <v>5</v>
      </c>
      <c r="AQ93" s="23">
        <v>44141</v>
      </c>
      <c r="AR93" s="19" t="s">
        <v>99</v>
      </c>
      <c r="AS93" s="19" t="s">
        <v>4</v>
      </c>
      <c r="AT93" s="19" t="s">
        <v>4</v>
      </c>
      <c r="AU93" s="19" t="s">
        <v>4</v>
      </c>
      <c r="AV93" s="19" t="s">
        <v>4</v>
      </c>
      <c r="AW93" s="19" t="s">
        <v>775</v>
      </c>
      <c r="AX93" s="19" t="s">
        <v>776</v>
      </c>
      <c r="AY93" s="19" t="s">
        <v>4</v>
      </c>
      <c r="AZ93" s="19" t="s">
        <v>483</v>
      </c>
      <c r="BA93" s="19" t="s">
        <v>484</v>
      </c>
      <c r="BB93" s="19" t="s">
        <v>484</v>
      </c>
      <c r="BC93" s="19" t="s">
        <v>375</v>
      </c>
      <c r="BD93" s="19" t="s">
        <v>287</v>
      </c>
      <c r="BE93" s="20" t="s">
        <v>812</v>
      </c>
    </row>
    <row r="94" spans="1:57" x14ac:dyDescent="0.3">
      <c r="A94" s="13" t="s">
        <v>40</v>
      </c>
      <c r="B94" s="14" t="s">
        <v>291</v>
      </c>
      <c r="C94" s="14" t="s">
        <v>292</v>
      </c>
      <c r="D94" s="14" t="s">
        <v>293</v>
      </c>
      <c r="E94" s="14" t="s">
        <v>294</v>
      </c>
      <c r="F94" s="14" t="s">
        <v>771</v>
      </c>
      <c r="G94" s="14" t="s">
        <v>772</v>
      </c>
      <c r="H94" s="14" t="s">
        <v>266</v>
      </c>
      <c r="I94" s="14" t="s">
        <v>37</v>
      </c>
      <c r="J94" s="14" t="s">
        <v>38</v>
      </c>
      <c r="K94" s="14" t="s">
        <v>39</v>
      </c>
      <c r="L94" s="21">
        <v>44158</v>
      </c>
      <c r="M94" s="14" t="s">
        <v>46</v>
      </c>
      <c r="N94" s="14" t="s">
        <v>114</v>
      </c>
      <c r="O94" s="14" t="s">
        <v>4</v>
      </c>
      <c r="P94" s="14" t="s">
        <v>4</v>
      </c>
      <c r="Q94" s="14" t="s">
        <v>207</v>
      </c>
      <c r="R94" s="21">
        <v>29958</v>
      </c>
      <c r="S94" s="14" t="s">
        <v>206</v>
      </c>
      <c r="T94" s="14" t="s">
        <v>481</v>
      </c>
      <c r="U94" s="14" t="s">
        <v>482</v>
      </c>
      <c r="V94" s="14" t="s">
        <v>295</v>
      </c>
      <c r="W94" s="14" t="s">
        <v>4</v>
      </c>
      <c r="X94" s="14" t="s">
        <v>296</v>
      </c>
      <c r="Y94" s="14" t="s">
        <v>297</v>
      </c>
      <c r="Z94" s="14" t="s">
        <v>288</v>
      </c>
      <c r="AA94" s="14" t="s">
        <v>4</v>
      </c>
      <c r="AB94" s="14" t="s">
        <v>773</v>
      </c>
      <c r="AC94" s="14" t="s">
        <v>774</v>
      </c>
      <c r="AD94" s="14" t="s">
        <v>257</v>
      </c>
      <c r="AE94" s="14" t="s">
        <v>256</v>
      </c>
      <c r="AF94" s="14" t="s">
        <v>40</v>
      </c>
      <c r="AG94" s="14">
        <v>288000</v>
      </c>
      <c r="AH94" s="14" t="s">
        <v>45</v>
      </c>
      <c r="AI94" s="14">
        <v>100</v>
      </c>
      <c r="AJ94" s="14" t="s">
        <v>102</v>
      </c>
      <c r="AK94" s="14">
        <v>24000</v>
      </c>
      <c r="AL94" s="14">
        <v>174</v>
      </c>
      <c r="AM94" s="14" t="s">
        <v>220</v>
      </c>
      <c r="AN94" s="14" t="s">
        <v>221</v>
      </c>
      <c r="AO94" s="14">
        <v>8</v>
      </c>
      <c r="AP94" s="14">
        <v>5</v>
      </c>
      <c r="AQ94" s="15">
        <v>44141</v>
      </c>
      <c r="AR94" s="14" t="s">
        <v>99</v>
      </c>
      <c r="AS94" s="14" t="s">
        <v>4</v>
      </c>
      <c r="AT94" s="14" t="s">
        <v>4</v>
      </c>
      <c r="AU94" s="14" t="s">
        <v>4</v>
      </c>
      <c r="AV94" s="14" t="s">
        <v>4</v>
      </c>
      <c r="AW94" s="14" t="s">
        <v>775</v>
      </c>
      <c r="AX94" s="14" t="s">
        <v>776</v>
      </c>
      <c r="AY94" s="14" t="s">
        <v>4</v>
      </c>
      <c r="AZ94" s="14" t="s">
        <v>483</v>
      </c>
      <c r="BA94" s="14" t="s">
        <v>484</v>
      </c>
      <c r="BB94" s="14" t="s">
        <v>484</v>
      </c>
      <c r="BC94" s="14" t="s">
        <v>375</v>
      </c>
      <c r="BD94" s="14" t="s">
        <v>287</v>
      </c>
      <c r="BE94" s="16" t="s">
        <v>812</v>
      </c>
    </row>
    <row r="95" spans="1:57" x14ac:dyDescent="0.3">
      <c r="A95" s="18" t="s">
        <v>40</v>
      </c>
      <c r="B95" s="19" t="s">
        <v>291</v>
      </c>
      <c r="C95" s="19" t="s">
        <v>292</v>
      </c>
      <c r="D95" s="19" t="s">
        <v>372</v>
      </c>
      <c r="E95" s="19" t="s">
        <v>373</v>
      </c>
      <c r="F95" s="19" t="s">
        <v>777</v>
      </c>
      <c r="G95" s="19" t="s">
        <v>778</v>
      </c>
      <c r="H95" s="19" t="s">
        <v>266</v>
      </c>
      <c r="I95" s="19" t="s">
        <v>78</v>
      </c>
      <c r="J95" s="19" t="s">
        <v>79</v>
      </c>
      <c r="K95" s="19" t="s">
        <v>107</v>
      </c>
      <c r="L95" s="22">
        <v>44151</v>
      </c>
      <c r="M95" s="19" t="s">
        <v>83</v>
      </c>
      <c r="N95" s="19" t="s">
        <v>779</v>
      </c>
      <c r="O95" s="19" t="s">
        <v>4</v>
      </c>
      <c r="P95" s="19" t="s">
        <v>4</v>
      </c>
      <c r="Q95" s="19" t="s">
        <v>207</v>
      </c>
      <c r="R95" s="22">
        <v>35317</v>
      </c>
      <c r="S95" s="19" t="s">
        <v>208</v>
      </c>
      <c r="T95" s="19" t="s">
        <v>486</v>
      </c>
      <c r="U95" s="19" t="s">
        <v>487</v>
      </c>
      <c r="V95" s="19" t="s">
        <v>289</v>
      </c>
      <c r="W95" s="19" t="s">
        <v>4</v>
      </c>
      <c r="X95" s="19" t="s">
        <v>296</v>
      </c>
      <c r="Y95" s="19" t="s">
        <v>297</v>
      </c>
      <c r="Z95" s="19" t="s">
        <v>248</v>
      </c>
      <c r="AA95" s="19" t="s">
        <v>4</v>
      </c>
      <c r="AB95" s="19" t="s">
        <v>260</v>
      </c>
      <c r="AC95" s="19" t="s">
        <v>4</v>
      </c>
      <c r="AD95" s="19" t="s">
        <v>261</v>
      </c>
      <c r="AE95" s="19" t="s">
        <v>260</v>
      </c>
      <c r="AF95" s="19" t="s">
        <v>40</v>
      </c>
      <c r="AG95" s="19">
        <v>0</v>
      </c>
      <c r="AH95" s="19" t="s">
        <v>45</v>
      </c>
      <c r="AI95" s="19">
        <v>100</v>
      </c>
      <c r="AJ95" s="19" t="s">
        <v>115</v>
      </c>
      <c r="AK95" s="19">
        <v>30</v>
      </c>
      <c r="AL95" s="19">
        <v>174</v>
      </c>
      <c r="AM95" s="19" t="s">
        <v>220</v>
      </c>
      <c r="AN95" s="19" t="s">
        <v>221</v>
      </c>
      <c r="AO95" s="19">
        <v>8</v>
      </c>
      <c r="AP95" s="19">
        <v>5</v>
      </c>
      <c r="AQ95" s="23">
        <v>44141</v>
      </c>
      <c r="AR95" s="19" t="s">
        <v>88</v>
      </c>
      <c r="AS95" s="19" t="s">
        <v>4</v>
      </c>
      <c r="AT95" s="19" t="s">
        <v>4</v>
      </c>
      <c r="AU95" s="19" t="s">
        <v>4</v>
      </c>
      <c r="AV95" s="19" t="s">
        <v>4</v>
      </c>
      <c r="AW95" s="19" t="s">
        <v>780</v>
      </c>
      <c r="AX95" s="19" t="s">
        <v>374</v>
      </c>
      <c r="AY95" s="19" t="s">
        <v>4</v>
      </c>
      <c r="AZ95" s="19" t="s">
        <v>488</v>
      </c>
      <c r="BA95" s="19" t="s">
        <v>489</v>
      </c>
      <c r="BB95" s="19" t="s">
        <v>489</v>
      </c>
      <c r="BC95" s="19" t="s">
        <v>298</v>
      </c>
      <c r="BD95" s="19" t="s">
        <v>287</v>
      </c>
      <c r="BE95" s="20" t="s">
        <v>812</v>
      </c>
    </row>
    <row r="96" spans="1:57" x14ac:dyDescent="0.3">
      <c r="A96" s="13" t="s">
        <v>40</v>
      </c>
      <c r="B96" s="14" t="s">
        <v>291</v>
      </c>
      <c r="C96" s="14" t="s">
        <v>292</v>
      </c>
      <c r="D96" s="14" t="s">
        <v>372</v>
      </c>
      <c r="E96" s="14" t="s">
        <v>373</v>
      </c>
      <c r="F96" s="14" t="s">
        <v>777</v>
      </c>
      <c r="G96" s="14" t="s">
        <v>778</v>
      </c>
      <c r="H96" s="14" t="s">
        <v>266</v>
      </c>
      <c r="I96" s="14" t="s">
        <v>78</v>
      </c>
      <c r="J96" s="14" t="s">
        <v>79</v>
      </c>
      <c r="K96" s="14" t="s">
        <v>107</v>
      </c>
      <c r="L96" s="21">
        <v>44151</v>
      </c>
      <c r="M96" s="14" t="s">
        <v>83</v>
      </c>
      <c r="N96" s="14" t="s">
        <v>779</v>
      </c>
      <c r="O96" s="14" t="s">
        <v>4</v>
      </c>
      <c r="P96" s="14" t="s">
        <v>4</v>
      </c>
      <c r="Q96" s="14" t="s">
        <v>207</v>
      </c>
      <c r="R96" s="21">
        <v>35317</v>
      </c>
      <c r="S96" s="14" t="s">
        <v>208</v>
      </c>
      <c r="T96" s="14" t="s">
        <v>486</v>
      </c>
      <c r="U96" s="14" t="s">
        <v>487</v>
      </c>
      <c r="V96" s="14" t="s">
        <v>289</v>
      </c>
      <c r="W96" s="14" t="s">
        <v>4</v>
      </c>
      <c r="X96" s="14" t="s">
        <v>296</v>
      </c>
      <c r="Y96" s="14" t="s">
        <v>297</v>
      </c>
      <c r="Z96" s="14" t="s">
        <v>288</v>
      </c>
      <c r="AA96" s="14" t="s">
        <v>4</v>
      </c>
      <c r="AB96" s="14" t="s">
        <v>260</v>
      </c>
      <c r="AC96" s="14" t="s">
        <v>4</v>
      </c>
      <c r="AD96" s="14" t="s">
        <v>261</v>
      </c>
      <c r="AE96" s="14" t="s">
        <v>260</v>
      </c>
      <c r="AF96" s="14" t="s">
        <v>40</v>
      </c>
      <c r="AG96" s="14">
        <v>0</v>
      </c>
      <c r="AH96" s="14" t="s">
        <v>45</v>
      </c>
      <c r="AI96" s="14">
        <v>100</v>
      </c>
      <c r="AJ96" s="14" t="s">
        <v>115</v>
      </c>
      <c r="AK96" s="14">
        <v>30</v>
      </c>
      <c r="AL96" s="14">
        <v>174</v>
      </c>
      <c r="AM96" s="14" t="s">
        <v>220</v>
      </c>
      <c r="AN96" s="14" t="s">
        <v>221</v>
      </c>
      <c r="AO96" s="14">
        <v>8</v>
      </c>
      <c r="AP96" s="14">
        <v>5</v>
      </c>
      <c r="AQ96" s="15">
        <v>44141</v>
      </c>
      <c r="AR96" s="14" t="s">
        <v>88</v>
      </c>
      <c r="AS96" s="14" t="s">
        <v>4</v>
      </c>
      <c r="AT96" s="14" t="s">
        <v>4</v>
      </c>
      <c r="AU96" s="14" t="s">
        <v>4</v>
      </c>
      <c r="AV96" s="14" t="s">
        <v>4</v>
      </c>
      <c r="AW96" s="14" t="s">
        <v>780</v>
      </c>
      <c r="AX96" s="14" t="s">
        <v>374</v>
      </c>
      <c r="AY96" s="14" t="s">
        <v>4</v>
      </c>
      <c r="AZ96" s="14" t="s">
        <v>488</v>
      </c>
      <c r="BA96" s="14" t="s">
        <v>489</v>
      </c>
      <c r="BB96" s="14" t="s">
        <v>489</v>
      </c>
      <c r="BC96" s="14" t="s">
        <v>298</v>
      </c>
      <c r="BD96" s="14" t="s">
        <v>287</v>
      </c>
      <c r="BE96" s="16" t="s">
        <v>812</v>
      </c>
    </row>
    <row r="97" spans="1:57" x14ac:dyDescent="0.3">
      <c r="A97" s="18" t="s">
        <v>40</v>
      </c>
      <c r="B97" s="19" t="s">
        <v>291</v>
      </c>
      <c r="C97" s="19" t="s">
        <v>292</v>
      </c>
      <c r="D97" s="19" t="s">
        <v>293</v>
      </c>
      <c r="E97" s="19" t="s">
        <v>294</v>
      </c>
      <c r="F97" s="19" t="s">
        <v>781</v>
      </c>
      <c r="G97" s="19" t="s">
        <v>782</v>
      </c>
      <c r="H97" s="19" t="s">
        <v>376</v>
      </c>
      <c r="I97" s="19" t="s">
        <v>37</v>
      </c>
      <c r="J97" s="19" t="s">
        <v>38</v>
      </c>
      <c r="K97" s="19" t="s">
        <v>39</v>
      </c>
      <c r="L97" s="22">
        <v>44144</v>
      </c>
      <c r="M97" s="19" t="s">
        <v>8</v>
      </c>
      <c r="N97" s="19" t="s">
        <v>783</v>
      </c>
      <c r="O97" s="19" t="s">
        <v>4</v>
      </c>
      <c r="P97" s="19" t="s">
        <v>4</v>
      </c>
      <c r="Q97" s="19" t="s">
        <v>204</v>
      </c>
      <c r="R97" s="22">
        <v>32805</v>
      </c>
      <c r="S97" s="19" t="s">
        <v>205</v>
      </c>
      <c r="T97" s="19" t="s">
        <v>399</v>
      </c>
      <c r="U97" s="19" t="s">
        <v>400</v>
      </c>
      <c r="V97" s="19" t="s">
        <v>295</v>
      </c>
      <c r="W97" s="19" t="s">
        <v>4</v>
      </c>
      <c r="X97" s="19" t="s">
        <v>296</v>
      </c>
      <c r="Y97" s="19" t="s">
        <v>297</v>
      </c>
      <c r="Z97" s="19" t="s">
        <v>248</v>
      </c>
      <c r="AA97" s="19" t="s">
        <v>4</v>
      </c>
      <c r="AB97" s="19" t="s">
        <v>784</v>
      </c>
      <c r="AC97" s="19" t="s">
        <v>4</v>
      </c>
      <c r="AD97" s="19" t="s">
        <v>406</v>
      </c>
      <c r="AE97" s="19" t="s">
        <v>326</v>
      </c>
      <c r="AF97" s="19" t="s">
        <v>40</v>
      </c>
      <c r="AG97" s="19">
        <v>180000</v>
      </c>
      <c r="AH97" s="19" t="s">
        <v>45</v>
      </c>
      <c r="AI97" s="19">
        <v>100</v>
      </c>
      <c r="AJ97" s="19" t="s">
        <v>102</v>
      </c>
      <c r="AK97" s="19">
        <v>15000</v>
      </c>
      <c r="AL97" s="19">
        <v>174</v>
      </c>
      <c r="AM97" s="19" t="s">
        <v>220</v>
      </c>
      <c r="AN97" s="19" t="s">
        <v>221</v>
      </c>
      <c r="AO97" s="19">
        <v>8</v>
      </c>
      <c r="AP97" s="19">
        <v>5</v>
      </c>
      <c r="AQ97" s="23">
        <v>44141</v>
      </c>
      <c r="AR97" s="19" t="s">
        <v>90</v>
      </c>
      <c r="AS97" s="19" t="s">
        <v>4</v>
      </c>
      <c r="AT97" s="19" t="s">
        <v>785</v>
      </c>
      <c r="AU97" s="19" t="s">
        <v>4</v>
      </c>
      <c r="AV97" s="19" t="s">
        <v>4</v>
      </c>
      <c r="AW97" s="19" t="s">
        <v>786</v>
      </c>
      <c r="AX97" s="19" t="s">
        <v>401</v>
      </c>
      <c r="AY97" s="19" t="s">
        <v>4</v>
      </c>
      <c r="AZ97" s="19" t="s">
        <v>402</v>
      </c>
      <c r="BA97" s="19" t="s">
        <v>403</v>
      </c>
      <c r="BB97" s="19" t="s">
        <v>403</v>
      </c>
      <c r="BC97" s="19" t="s">
        <v>329</v>
      </c>
      <c r="BD97" s="19" t="s">
        <v>287</v>
      </c>
      <c r="BE97" s="20" t="s">
        <v>812</v>
      </c>
    </row>
    <row r="98" spans="1:57" x14ac:dyDescent="0.3">
      <c r="A98" s="13" t="s">
        <v>40</v>
      </c>
      <c r="B98" s="14" t="s">
        <v>291</v>
      </c>
      <c r="C98" s="14" t="s">
        <v>292</v>
      </c>
      <c r="D98" s="14" t="s">
        <v>293</v>
      </c>
      <c r="E98" s="14" t="s">
        <v>294</v>
      </c>
      <c r="F98" s="14" t="s">
        <v>781</v>
      </c>
      <c r="G98" s="14" t="s">
        <v>782</v>
      </c>
      <c r="H98" s="14" t="s">
        <v>376</v>
      </c>
      <c r="I98" s="14" t="s">
        <v>37</v>
      </c>
      <c r="J98" s="14" t="s">
        <v>38</v>
      </c>
      <c r="K98" s="14" t="s">
        <v>39</v>
      </c>
      <c r="L98" s="21">
        <v>44144</v>
      </c>
      <c r="M98" s="14" t="s">
        <v>8</v>
      </c>
      <c r="N98" s="14" t="s">
        <v>783</v>
      </c>
      <c r="O98" s="14" t="s">
        <v>4</v>
      </c>
      <c r="P98" s="14" t="s">
        <v>4</v>
      </c>
      <c r="Q98" s="14" t="s">
        <v>204</v>
      </c>
      <c r="R98" s="21">
        <v>32805</v>
      </c>
      <c r="S98" s="14" t="s">
        <v>205</v>
      </c>
      <c r="T98" s="14" t="s">
        <v>399</v>
      </c>
      <c r="U98" s="14" t="s">
        <v>400</v>
      </c>
      <c r="V98" s="14" t="s">
        <v>295</v>
      </c>
      <c r="W98" s="14" t="s">
        <v>4</v>
      </c>
      <c r="X98" s="14" t="s">
        <v>296</v>
      </c>
      <c r="Y98" s="14" t="s">
        <v>297</v>
      </c>
      <c r="Z98" s="14" t="s">
        <v>288</v>
      </c>
      <c r="AA98" s="14" t="s">
        <v>4</v>
      </c>
      <c r="AB98" s="14" t="s">
        <v>784</v>
      </c>
      <c r="AC98" s="14" t="s">
        <v>4</v>
      </c>
      <c r="AD98" s="14" t="s">
        <v>406</v>
      </c>
      <c r="AE98" s="14" t="s">
        <v>326</v>
      </c>
      <c r="AF98" s="14" t="s">
        <v>40</v>
      </c>
      <c r="AG98" s="14">
        <v>180000</v>
      </c>
      <c r="AH98" s="14" t="s">
        <v>45</v>
      </c>
      <c r="AI98" s="14">
        <v>100</v>
      </c>
      <c r="AJ98" s="14" t="s">
        <v>102</v>
      </c>
      <c r="AK98" s="14">
        <v>15000</v>
      </c>
      <c r="AL98" s="14">
        <v>174</v>
      </c>
      <c r="AM98" s="14" t="s">
        <v>220</v>
      </c>
      <c r="AN98" s="14" t="s">
        <v>221</v>
      </c>
      <c r="AO98" s="14">
        <v>8</v>
      </c>
      <c r="AP98" s="14">
        <v>5</v>
      </c>
      <c r="AQ98" s="15">
        <v>44141</v>
      </c>
      <c r="AR98" s="14" t="s">
        <v>90</v>
      </c>
      <c r="AS98" s="14" t="s">
        <v>4</v>
      </c>
      <c r="AT98" s="14" t="s">
        <v>785</v>
      </c>
      <c r="AU98" s="14" t="s">
        <v>4</v>
      </c>
      <c r="AV98" s="14" t="s">
        <v>4</v>
      </c>
      <c r="AW98" s="14" t="s">
        <v>786</v>
      </c>
      <c r="AX98" s="14" t="s">
        <v>401</v>
      </c>
      <c r="AY98" s="14" t="s">
        <v>4</v>
      </c>
      <c r="AZ98" s="14" t="s">
        <v>402</v>
      </c>
      <c r="BA98" s="14" t="s">
        <v>403</v>
      </c>
      <c r="BB98" s="14" t="s">
        <v>403</v>
      </c>
      <c r="BC98" s="14" t="s">
        <v>329</v>
      </c>
      <c r="BD98" s="14" t="s">
        <v>287</v>
      </c>
      <c r="BE98" s="16" t="s">
        <v>812</v>
      </c>
    </row>
    <row r="99" spans="1:57" x14ac:dyDescent="0.3">
      <c r="A99" s="18" t="s">
        <v>40</v>
      </c>
      <c r="B99" s="19" t="s">
        <v>291</v>
      </c>
      <c r="C99" s="19" t="s">
        <v>292</v>
      </c>
      <c r="D99" s="19" t="s">
        <v>293</v>
      </c>
      <c r="E99" s="19" t="s">
        <v>294</v>
      </c>
      <c r="F99" s="19" t="s">
        <v>787</v>
      </c>
      <c r="G99" s="19" t="s">
        <v>788</v>
      </c>
      <c r="H99" s="19" t="s">
        <v>266</v>
      </c>
      <c r="I99" s="19" t="s">
        <v>37</v>
      </c>
      <c r="J99" s="19" t="s">
        <v>38</v>
      </c>
      <c r="K99" s="19" t="s">
        <v>39</v>
      </c>
      <c r="L99" s="22">
        <v>44172</v>
      </c>
      <c r="M99" s="19" t="s">
        <v>76</v>
      </c>
      <c r="N99" s="19" t="s">
        <v>789</v>
      </c>
      <c r="O99" s="19" t="s">
        <v>4</v>
      </c>
      <c r="P99" s="19" t="s">
        <v>4</v>
      </c>
      <c r="Q99" s="19" t="s">
        <v>204</v>
      </c>
      <c r="R99" s="22">
        <v>31832</v>
      </c>
      <c r="S99" s="19" t="s">
        <v>206</v>
      </c>
      <c r="T99" s="19" t="s">
        <v>387</v>
      </c>
      <c r="U99" s="19" t="s">
        <v>388</v>
      </c>
      <c r="V99" s="19" t="s">
        <v>295</v>
      </c>
      <c r="W99" s="19" t="s">
        <v>4</v>
      </c>
      <c r="X99" s="19" t="s">
        <v>296</v>
      </c>
      <c r="Y99" s="19" t="s">
        <v>297</v>
      </c>
      <c r="Z99" s="19" t="s">
        <v>248</v>
      </c>
      <c r="AA99" s="19" t="s">
        <v>4</v>
      </c>
      <c r="AB99" s="19" t="s">
        <v>790</v>
      </c>
      <c r="AC99" s="19" t="s">
        <v>4</v>
      </c>
      <c r="AD99" s="19" t="s">
        <v>791</v>
      </c>
      <c r="AE99" s="19" t="s">
        <v>303</v>
      </c>
      <c r="AF99" s="19" t="s">
        <v>40</v>
      </c>
      <c r="AG99" s="19">
        <v>264000</v>
      </c>
      <c r="AH99" s="19" t="s">
        <v>45</v>
      </c>
      <c r="AI99" s="19">
        <v>100</v>
      </c>
      <c r="AJ99" s="19" t="s">
        <v>102</v>
      </c>
      <c r="AK99" s="19">
        <v>22000</v>
      </c>
      <c r="AL99" s="19">
        <v>174</v>
      </c>
      <c r="AM99" s="19" t="s">
        <v>220</v>
      </c>
      <c r="AN99" s="19" t="s">
        <v>221</v>
      </c>
      <c r="AO99" s="19">
        <v>8</v>
      </c>
      <c r="AP99" s="19">
        <v>5</v>
      </c>
      <c r="AQ99" s="23">
        <v>44141</v>
      </c>
      <c r="AR99" s="19" t="s">
        <v>90</v>
      </c>
      <c r="AS99" s="19" t="s">
        <v>4</v>
      </c>
      <c r="AT99" s="19" t="s">
        <v>4</v>
      </c>
      <c r="AU99" s="19" t="s">
        <v>4</v>
      </c>
      <c r="AV99" s="19" t="s">
        <v>4</v>
      </c>
      <c r="AW99" s="19" t="s">
        <v>792</v>
      </c>
      <c r="AX99" s="19" t="s">
        <v>385</v>
      </c>
      <c r="AY99" s="19" t="s">
        <v>4</v>
      </c>
      <c r="AZ99" s="19" t="s">
        <v>389</v>
      </c>
      <c r="BA99" s="19" t="s">
        <v>390</v>
      </c>
      <c r="BB99" s="19" t="s">
        <v>390</v>
      </c>
      <c r="BC99" s="19" t="s">
        <v>386</v>
      </c>
      <c r="BD99" s="19" t="s">
        <v>287</v>
      </c>
      <c r="BE99" s="20" t="s">
        <v>812</v>
      </c>
    </row>
    <row r="100" spans="1:57" x14ac:dyDescent="0.3">
      <c r="A100" s="13" t="s">
        <v>40</v>
      </c>
      <c r="B100" s="14" t="s">
        <v>291</v>
      </c>
      <c r="C100" s="14" t="s">
        <v>292</v>
      </c>
      <c r="D100" s="14" t="s">
        <v>293</v>
      </c>
      <c r="E100" s="14" t="s">
        <v>294</v>
      </c>
      <c r="F100" s="14" t="s">
        <v>787</v>
      </c>
      <c r="G100" s="14" t="s">
        <v>788</v>
      </c>
      <c r="H100" s="14" t="s">
        <v>266</v>
      </c>
      <c r="I100" s="14" t="s">
        <v>37</v>
      </c>
      <c r="J100" s="14" t="s">
        <v>38</v>
      </c>
      <c r="K100" s="14" t="s">
        <v>39</v>
      </c>
      <c r="L100" s="21">
        <v>44172</v>
      </c>
      <c r="M100" s="14" t="s">
        <v>76</v>
      </c>
      <c r="N100" s="14" t="s">
        <v>789</v>
      </c>
      <c r="O100" s="14" t="s">
        <v>4</v>
      </c>
      <c r="P100" s="14" t="s">
        <v>4</v>
      </c>
      <c r="Q100" s="14" t="s">
        <v>204</v>
      </c>
      <c r="R100" s="21">
        <v>31832</v>
      </c>
      <c r="S100" s="14" t="s">
        <v>206</v>
      </c>
      <c r="T100" s="14" t="s">
        <v>387</v>
      </c>
      <c r="U100" s="14" t="s">
        <v>388</v>
      </c>
      <c r="V100" s="14" t="s">
        <v>295</v>
      </c>
      <c r="W100" s="14" t="s">
        <v>4</v>
      </c>
      <c r="X100" s="14" t="s">
        <v>296</v>
      </c>
      <c r="Y100" s="14" t="s">
        <v>297</v>
      </c>
      <c r="Z100" s="14" t="s">
        <v>288</v>
      </c>
      <c r="AA100" s="14" t="s">
        <v>4</v>
      </c>
      <c r="AB100" s="14" t="s">
        <v>790</v>
      </c>
      <c r="AC100" s="14" t="s">
        <v>4</v>
      </c>
      <c r="AD100" s="14" t="s">
        <v>791</v>
      </c>
      <c r="AE100" s="14" t="s">
        <v>303</v>
      </c>
      <c r="AF100" s="14" t="s">
        <v>40</v>
      </c>
      <c r="AG100" s="14">
        <v>264000</v>
      </c>
      <c r="AH100" s="14" t="s">
        <v>45</v>
      </c>
      <c r="AI100" s="14">
        <v>100</v>
      </c>
      <c r="AJ100" s="14" t="s">
        <v>102</v>
      </c>
      <c r="AK100" s="14">
        <v>22000</v>
      </c>
      <c r="AL100" s="14">
        <v>174</v>
      </c>
      <c r="AM100" s="14" t="s">
        <v>220</v>
      </c>
      <c r="AN100" s="14" t="s">
        <v>221</v>
      </c>
      <c r="AO100" s="14">
        <v>8</v>
      </c>
      <c r="AP100" s="14">
        <v>5</v>
      </c>
      <c r="AQ100" s="15">
        <v>44141</v>
      </c>
      <c r="AR100" s="14" t="s">
        <v>90</v>
      </c>
      <c r="AS100" s="14" t="s">
        <v>4</v>
      </c>
      <c r="AT100" s="14" t="s">
        <v>4</v>
      </c>
      <c r="AU100" s="14" t="s">
        <v>4</v>
      </c>
      <c r="AV100" s="14" t="s">
        <v>4</v>
      </c>
      <c r="AW100" s="14" t="s">
        <v>792</v>
      </c>
      <c r="AX100" s="14" t="s">
        <v>385</v>
      </c>
      <c r="AY100" s="14" t="s">
        <v>4</v>
      </c>
      <c r="AZ100" s="14" t="s">
        <v>389</v>
      </c>
      <c r="BA100" s="14" t="s">
        <v>390</v>
      </c>
      <c r="BB100" s="14" t="s">
        <v>390</v>
      </c>
      <c r="BC100" s="14" t="s">
        <v>386</v>
      </c>
      <c r="BD100" s="14" t="s">
        <v>287</v>
      </c>
      <c r="BE100" s="16" t="s">
        <v>812</v>
      </c>
    </row>
    <row r="101" spans="1:57" x14ac:dyDescent="0.3">
      <c r="A101" s="18" t="s">
        <v>40</v>
      </c>
      <c r="B101" s="19" t="s">
        <v>291</v>
      </c>
      <c r="C101" s="19" t="s">
        <v>292</v>
      </c>
      <c r="D101" s="19" t="s">
        <v>293</v>
      </c>
      <c r="E101" s="19" t="s">
        <v>294</v>
      </c>
      <c r="F101" s="19" t="s">
        <v>793</v>
      </c>
      <c r="G101" s="19" t="s">
        <v>794</v>
      </c>
      <c r="H101" s="19" t="s">
        <v>376</v>
      </c>
      <c r="I101" s="19" t="s">
        <v>37</v>
      </c>
      <c r="J101" s="19" t="s">
        <v>38</v>
      </c>
      <c r="K101" s="19" t="s">
        <v>39</v>
      </c>
      <c r="L101" s="22">
        <v>44136</v>
      </c>
      <c r="M101" s="19" t="s">
        <v>62</v>
      </c>
      <c r="N101" s="19" t="s">
        <v>89</v>
      </c>
      <c r="O101" s="19" t="s">
        <v>4</v>
      </c>
      <c r="P101" s="19" t="s">
        <v>4</v>
      </c>
      <c r="Q101" s="19" t="s">
        <v>204</v>
      </c>
      <c r="R101" s="22">
        <v>30648</v>
      </c>
      <c r="S101" s="19" t="s">
        <v>208</v>
      </c>
      <c r="T101" s="19" t="s">
        <v>795</v>
      </c>
      <c r="U101" s="19" t="s">
        <v>796</v>
      </c>
      <c r="V101" s="19" t="s">
        <v>295</v>
      </c>
      <c r="W101" s="19" t="s">
        <v>4</v>
      </c>
      <c r="X101" s="19" t="s">
        <v>296</v>
      </c>
      <c r="Y101" s="19" t="s">
        <v>297</v>
      </c>
      <c r="Z101" s="19" t="s">
        <v>248</v>
      </c>
      <c r="AA101" s="19" t="s">
        <v>4</v>
      </c>
      <c r="AB101" s="19" t="s">
        <v>797</v>
      </c>
      <c r="AC101" s="19" t="s">
        <v>4</v>
      </c>
      <c r="AD101" s="19" t="s">
        <v>798</v>
      </c>
      <c r="AE101" s="19" t="s">
        <v>303</v>
      </c>
      <c r="AF101" s="19" t="s">
        <v>40</v>
      </c>
      <c r="AG101" s="19">
        <v>228000</v>
      </c>
      <c r="AH101" s="19" t="s">
        <v>45</v>
      </c>
      <c r="AI101" s="19">
        <v>100</v>
      </c>
      <c r="AJ101" s="19" t="s">
        <v>102</v>
      </c>
      <c r="AK101" s="19">
        <v>19000</v>
      </c>
      <c r="AL101" s="19">
        <v>174</v>
      </c>
      <c r="AM101" s="19" t="s">
        <v>220</v>
      </c>
      <c r="AN101" s="19" t="s">
        <v>221</v>
      </c>
      <c r="AO101" s="19">
        <v>8</v>
      </c>
      <c r="AP101" s="19">
        <v>5</v>
      </c>
      <c r="AQ101" s="23">
        <v>44144</v>
      </c>
      <c r="AR101" s="19" t="s">
        <v>100</v>
      </c>
      <c r="AS101" s="19" t="s">
        <v>4</v>
      </c>
      <c r="AT101" s="19" t="s">
        <v>799</v>
      </c>
      <c r="AU101" s="19" t="s">
        <v>4</v>
      </c>
      <c r="AV101" s="19" t="s">
        <v>4</v>
      </c>
      <c r="AW101" s="19" t="s">
        <v>800</v>
      </c>
      <c r="AX101" s="19" t="s">
        <v>385</v>
      </c>
      <c r="AY101" s="19" t="s">
        <v>4</v>
      </c>
      <c r="AZ101" s="19" t="s">
        <v>801</v>
      </c>
      <c r="BA101" s="19" t="s">
        <v>802</v>
      </c>
      <c r="BB101" s="19" t="s">
        <v>802</v>
      </c>
      <c r="BC101" s="19" t="s">
        <v>386</v>
      </c>
      <c r="BD101" s="19" t="s">
        <v>290</v>
      </c>
      <c r="BE101" s="20" t="s">
        <v>812</v>
      </c>
    </row>
    <row r="102" spans="1:57" x14ac:dyDescent="0.3">
      <c r="A102" s="13" t="s">
        <v>40</v>
      </c>
      <c r="B102" s="14" t="s">
        <v>291</v>
      </c>
      <c r="C102" s="14" t="s">
        <v>292</v>
      </c>
      <c r="D102" s="14" t="s">
        <v>293</v>
      </c>
      <c r="E102" s="14" t="s">
        <v>294</v>
      </c>
      <c r="F102" s="14" t="s">
        <v>793</v>
      </c>
      <c r="G102" s="14" t="s">
        <v>794</v>
      </c>
      <c r="H102" s="14" t="s">
        <v>376</v>
      </c>
      <c r="I102" s="14" t="s">
        <v>37</v>
      </c>
      <c r="J102" s="14" t="s">
        <v>38</v>
      </c>
      <c r="K102" s="14" t="s">
        <v>39</v>
      </c>
      <c r="L102" s="21">
        <v>44136</v>
      </c>
      <c r="M102" s="14" t="s">
        <v>62</v>
      </c>
      <c r="N102" s="14" t="s">
        <v>89</v>
      </c>
      <c r="O102" s="14" t="s">
        <v>4</v>
      </c>
      <c r="P102" s="14" t="s">
        <v>4</v>
      </c>
      <c r="Q102" s="14" t="s">
        <v>204</v>
      </c>
      <c r="R102" s="21">
        <v>30648</v>
      </c>
      <c r="S102" s="14" t="s">
        <v>208</v>
      </c>
      <c r="T102" s="14" t="s">
        <v>795</v>
      </c>
      <c r="U102" s="14" t="s">
        <v>796</v>
      </c>
      <c r="V102" s="14" t="s">
        <v>295</v>
      </c>
      <c r="W102" s="14" t="s">
        <v>4</v>
      </c>
      <c r="X102" s="14" t="s">
        <v>296</v>
      </c>
      <c r="Y102" s="14" t="s">
        <v>297</v>
      </c>
      <c r="Z102" s="14" t="s">
        <v>288</v>
      </c>
      <c r="AA102" s="14" t="s">
        <v>4</v>
      </c>
      <c r="AB102" s="14" t="s">
        <v>797</v>
      </c>
      <c r="AC102" s="14" t="s">
        <v>4</v>
      </c>
      <c r="AD102" s="14" t="s">
        <v>798</v>
      </c>
      <c r="AE102" s="14" t="s">
        <v>303</v>
      </c>
      <c r="AF102" s="14" t="s">
        <v>40</v>
      </c>
      <c r="AG102" s="14">
        <v>228000</v>
      </c>
      <c r="AH102" s="14" t="s">
        <v>45</v>
      </c>
      <c r="AI102" s="14">
        <v>100</v>
      </c>
      <c r="AJ102" s="14" t="s">
        <v>102</v>
      </c>
      <c r="AK102" s="14">
        <v>19000</v>
      </c>
      <c r="AL102" s="14">
        <v>174</v>
      </c>
      <c r="AM102" s="14" t="s">
        <v>220</v>
      </c>
      <c r="AN102" s="14" t="s">
        <v>221</v>
      </c>
      <c r="AO102" s="14">
        <v>8</v>
      </c>
      <c r="AP102" s="14">
        <v>5</v>
      </c>
      <c r="AQ102" s="15">
        <v>44144</v>
      </c>
      <c r="AR102" s="14" t="s">
        <v>100</v>
      </c>
      <c r="AS102" s="14" t="s">
        <v>4</v>
      </c>
      <c r="AT102" s="14" t="s">
        <v>799</v>
      </c>
      <c r="AU102" s="14" t="s">
        <v>4</v>
      </c>
      <c r="AV102" s="14" t="s">
        <v>4</v>
      </c>
      <c r="AW102" s="14" t="s">
        <v>800</v>
      </c>
      <c r="AX102" s="14" t="s">
        <v>385</v>
      </c>
      <c r="AY102" s="14" t="s">
        <v>4</v>
      </c>
      <c r="AZ102" s="14" t="s">
        <v>801</v>
      </c>
      <c r="BA102" s="14" t="s">
        <v>802</v>
      </c>
      <c r="BB102" s="14" t="s">
        <v>802</v>
      </c>
      <c r="BC102" s="14" t="s">
        <v>386</v>
      </c>
      <c r="BD102" s="14" t="s">
        <v>290</v>
      </c>
      <c r="BE102" s="16" t="s">
        <v>812</v>
      </c>
    </row>
    <row r="103" spans="1:57" x14ac:dyDescent="0.3">
      <c r="A103" s="18" t="s">
        <v>40</v>
      </c>
      <c r="B103" s="19" t="s">
        <v>41</v>
      </c>
      <c r="C103" s="19" t="s">
        <v>42</v>
      </c>
      <c r="D103" s="19" t="s">
        <v>43</v>
      </c>
      <c r="E103" s="19" t="s">
        <v>44</v>
      </c>
      <c r="F103" s="19" t="s">
        <v>803</v>
      </c>
      <c r="G103" s="19" t="s">
        <v>804</v>
      </c>
      <c r="H103" s="19" t="s">
        <v>266</v>
      </c>
      <c r="I103" s="19" t="s">
        <v>37</v>
      </c>
      <c r="J103" s="19" t="s">
        <v>38</v>
      </c>
      <c r="K103" s="19" t="s">
        <v>39</v>
      </c>
      <c r="L103" s="22">
        <v>44151</v>
      </c>
      <c r="M103" s="19" t="s">
        <v>433</v>
      </c>
      <c r="N103" s="19" t="s">
        <v>805</v>
      </c>
      <c r="O103" s="19" t="s">
        <v>4</v>
      </c>
      <c r="P103" s="19" t="s">
        <v>4</v>
      </c>
      <c r="Q103" s="19" t="s">
        <v>207</v>
      </c>
      <c r="R103" s="22">
        <v>34116</v>
      </c>
      <c r="S103" s="19" t="s">
        <v>206</v>
      </c>
      <c r="T103" s="19" t="s">
        <v>806</v>
      </c>
      <c r="U103" s="19" t="s">
        <v>429</v>
      </c>
      <c r="V103" s="19" t="s">
        <v>383</v>
      </c>
      <c r="W103" s="19" t="s">
        <v>4</v>
      </c>
      <c r="X103" s="19" t="s">
        <v>160</v>
      </c>
      <c r="Y103" s="19" t="s">
        <v>37</v>
      </c>
      <c r="Z103" s="19" t="s">
        <v>248</v>
      </c>
      <c r="AA103" s="19" t="s">
        <v>4</v>
      </c>
      <c r="AB103" s="19" t="s">
        <v>807</v>
      </c>
      <c r="AC103" s="19" t="s">
        <v>4</v>
      </c>
      <c r="AD103" s="19" t="s">
        <v>257</v>
      </c>
      <c r="AE103" s="19" t="s">
        <v>256</v>
      </c>
      <c r="AF103" s="19" t="s">
        <v>40</v>
      </c>
      <c r="AG103" s="19">
        <v>174000</v>
      </c>
      <c r="AH103" s="19" t="s">
        <v>45</v>
      </c>
      <c r="AI103" s="19">
        <v>100</v>
      </c>
      <c r="AJ103" s="19" t="s">
        <v>102</v>
      </c>
      <c r="AK103" s="19">
        <v>14500</v>
      </c>
      <c r="AL103" s="19">
        <v>174</v>
      </c>
      <c r="AM103" s="19" t="s">
        <v>220</v>
      </c>
      <c r="AN103" s="19" t="s">
        <v>221</v>
      </c>
      <c r="AO103" s="19">
        <v>8</v>
      </c>
      <c r="AP103" s="19">
        <v>5</v>
      </c>
      <c r="AQ103" s="23">
        <v>44145</v>
      </c>
      <c r="AR103" s="19" t="s">
        <v>99</v>
      </c>
      <c r="AS103" s="19" t="s">
        <v>4</v>
      </c>
      <c r="AT103" s="19" t="s">
        <v>4</v>
      </c>
      <c r="AU103" s="19" t="s">
        <v>4</v>
      </c>
      <c r="AV103" s="19" t="s">
        <v>4</v>
      </c>
      <c r="AW103" s="19" t="s">
        <v>808</v>
      </c>
      <c r="AX103" s="19" t="s">
        <v>809</v>
      </c>
      <c r="AY103" s="19" t="s">
        <v>4</v>
      </c>
      <c r="AZ103" s="19" t="s">
        <v>810</v>
      </c>
      <c r="BA103" s="19" t="s">
        <v>811</v>
      </c>
      <c r="BB103" s="19" t="s">
        <v>811</v>
      </c>
      <c r="BC103" s="19" t="s">
        <v>384</v>
      </c>
      <c r="BD103" s="19" t="s">
        <v>287</v>
      </c>
      <c r="BE103" s="20" t="s">
        <v>812</v>
      </c>
    </row>
    <row r="104" spans="1:57" x14ac:dyDescent="0.3">
      <c r="A104" s="13" t="s">
        <v>40</v>
      </c>
      <c r="B104" s="14" t="s">
        <v>41</v>
      </c>
      <c r="C104" s="14" t="s">
        <v>42</v>
      </c>
      <c r="D104" s="14" t="s">
        <v>43</v>
      </c>
      <c r="E104" s="14" t="s">
        <v>44</v>
      </c>
      <c r="F104" s="14" t="s">
        <v>803</v>
      </c>
      <c r="G104" s="14" t="s">
        <v>804</v>
      </c>
      <c r="H104" s="14" t="s">
        <v>266</v>
      </c>
      <c r="I104" s="14" t="s">
        <v>37</v>
      </c>
      <c r="J104" s="14" t="s">
        <v>38</v>
      </c>
      <c r="K104" s="14" t="s">
        <v>39</v>
      </c>
      <c r="L104" s="21">
        <v>44151</v>
      </c>
      <c r="M104" s="14" t="s">
        <v>433</v>
      </c>
      <c r="N104" s="14" t="s">
        <v>805</v>
      </c>
      <c r="O104" s="14" t="s">
        <v>4</v>
      </c>
      <c r="P104" s="14" t="s">
        <v>4</v>
      </c>
      <c r="Q104" s="14" t="s">
        <v>207</v>
      </c>
      <c r="R104" s="21">
        <v>34116</v>
      </c>
      <c r="S104" s="14" t="s">
        <v>206</v>
      </c>
      <c r="T104" s="14" t="s">
        <v>806</v>
      </c>
      <c r="U104" s="14" t="s">
        <v>429</v>
      </c>
      <c r="V104" s="14" t="s">
        <v>383</v>
      </c>
      <c r="W104" s="14" t="s">
        <v>4</v>
      </c>
      <c r="X104" s="14" t="s">
        <v>160</v>
      </c>
      <c r="Y104" s="14" t="s">
        <v>37</v>
      </c>
      <c r="Z104" s="14" t="s">
        <v>288</v>
      </c>
      <c r="AA104" s="14" t="s">
        <v>4</v>
      </c>
      <c r="AB104" s="14" t="s">
        <v>807</v>
      </c>
      <c r="AC104" s="14" t="s">
        <v>4</v>
      </c>
      <c r="AD104" s="14" t="s">
        <v>257</v>
      </c>
      <c r="AE104" s="14" t="s">
        <v>256</v>
      </c>
      <c r="AF104" s="14" t="s">
        <v>40</v>
      </c>
      <c r="AG104" s="14">
        <v>174000</v>
      </c>
      <c r="AH104" s="14" t="s">
        <v>45</v>
      </c>
      <c r="AI104" s="14">
        <v>100</v>
      </c>
      <c r="AJ104" s="14" t="s">
        <v>102</v>
      </c>
      <c r="AK104" s="14">
        <v>14500</v>
      </c>
      <c r="AL104" s="14">
        <v>174</v>
      </c>
      <c r="AM104" s="14" t="s">
        <v>220</v>
      </c>
      <c r="AN104" s="14" t="s">
        <v>221</v>
      </c>
      <c r="AO104" s="14">
        <v>8</v>
      </c>
      <c r="AP104" s="14">
        <v>5</v>
      </c>
      <c r="AQ104" s="15">
        <v>44145</v>
      </c>
      <c r="AR104" s="14" t="s">
        <v>99</v>
      </c>
      <c r="AS104" s="14" t="s">
        <v>4</v>
      </c>
      <c r="AT104" s="14" t="s">
        <v>4</v>
      </c>
      <c r="AU104" s="14" t="s">
        <v>4</v>
      </c>
      <c r="AV104" s="14" t="s">
        <v>4</v>
      </c>
      <c r="AW104" s="14" t="s">
        <v>808</v>
      </c>
      <c r="AX104" s="14" t="s">
        <v>809</v>
      </c>
      <c r="AY104" s="14" t="s">
        <v>4</v>
      </c>
      <c r="AZ104" s="14" t="s">
        <v>810</v>
      </c>
      <c r="BA104" s="14" t="s">
        <v>811</v>
      </c>
      <c r="BB104" s="14" t="s">
        <v>811</v>
      </c>
      <c r="BC104" s="14" t="s">
        <v>384</v>
      </c>
      <c r="BD104" s="14" t="s">
        <v>287</v>
      </c>
      <c r="BE104" s="16" t="s">
        <v>812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652E-C0BB-4B90-AA33-A3F9B8C012B3}">
  <sheetPr codeName="Sheet7"/>
  <dimension ref="A1:C5"/>
  <sheetViews>
    <sheetView workbookViewId="0">
      <selection activeCell="A4" sqref="A4"/>
    </sheetView>
  </sheetViews>
  <sheetFormatPr defaultRowHeight="14.4" x14ac:dyDescent="0.3"/>
  <cols>
    <col min="1" max="1" width="17.21875" bestFit="1" customWidth="1"/>
    <col min="2" max="2" width="13.44140625" bestFit="1" customWidth="1"/>
    <col min="3" max="3" width="15.33203125" bestFit="1" customWidth="1"/>
  </cols>
  <sheetData>
    <row r="1" spans="1:3" x14ac:dyDescent="0.3">
      <c r="A1" s="3" t="s">
        <v>11</v>
      </c>
      <c r="B1" s="3" t="s">
        <v>12</v>
      </c>
      <c r="C1" s="3" t="s">
        <v>13</v>
      </c>
    </row>
    <row r="2" spans="1:3" x14ac:dyDescent="0.3">
      <c r="C2">
        <f>_xlfn.AGGREGATE(3,3,Master_Data!$A:$A)-1</f>
        <v>103</v>
      </c>
    </row>
    <row r="3" spans="1:3" x14ac:dyDescent="0.3">
      <c r="A3" s="3" t="s">
        <v>15</v>
      </c>
      <c r="B3" s="3" t="s">
        <v>263</v>
      </c>
    </row>
    <row r="4" spans="1:3" x14ac:dyDescent="0.3">
      <c r="A4">
        <f>_xlfn.AGGREGATE(3,3,SP_Access_List!$A:$A)</f>
        <v>351</v>
      </c>
      <c r="B4" s="12"/>
    </row>
    <row r="5" spans="1:3" x14ac:dyDescent="0.3">
      <c r="B5" s="1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Ravjyot Singh Duggal</dc:creator>
  <cp:lastModifiedBy>Ravjyot Singh Duggal</cp:lastModifiedBy>
  <dcterms:created xsi:type="dcterms:W3CDTF">2020-09-15T09:02:20Z</dcterms:created>
  <dcterms:modified xsi:type="dcterms:W3CDTF">2021-09-06T04:27:50Z</dcterms:modified>
</cp:coreProperties>
</file>